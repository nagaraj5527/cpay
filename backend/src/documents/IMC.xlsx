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8.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hange Log" sheetId="2" state="visible" r:id="rId4"/>
    <sheet name="Dashboard" sheetId="3" state="visible" r:id="rId5"/>
    <sheet name="Species Database" sheetId="4" state="visible" r:id="rId6"/>
    <sheet name="Feed Database" sheetId="5" state="visible" r:id="rId7"/>
    <sheet name="Growth &amp; Feed Model" sheetId="6" state="visible" r:id="rId8"/>
    <sheet name="Harvest Schedule" sheetId="7" state="visible" r:id="rId9"/>
    <sheet name="Feed Emission Model" sheetId="8" state="visible" r:id="rId10"/>
    <sheet name="Pond Emission Model" sheetId="9" state="visible" r:id="rId11"/>
    <sheet name="Energy Module" sheetId="10" state="visible" r:id="rId12"/>
    <sheet name="Economics Module" sheetId="11" state="visible" r:id="rId13"/>
    <sheet name="Improved Farming Scenario" sheetId="12" state="visible" r:id="rId14"/>
    <sheet name="Carbon Accounting" sheetId="13" state="visible" r:id="rId15"/>
    <sheet name="Carbon Reduction Summary" sheetId="14" state="visible" r:id="rId16"/>
    <sheet name="Sensitivity Analysis" sheetId="15" state="visible" r:id="rId17"/>
    <sheet name="Report" sheetId="16" state="visible" r:id="rId18"/>
    <sheet name="Scientific References" sheetId="17" state="visible" r:id="rId19"/>
    <sheet name="Water Quality &amp; Plankton Log" sheetId="18" state="visible" r:id="rId20"/>
    <sheet name="MRV Engine" sheetId="19" state="hidden" r:id="rId21"/>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56" authorId="0">
      <text>
        <r>
          <rPr>
            <sz val="10"/>
            <rFont val="Arial"/>
            <family val="2"/>
          </rPr>
          <t xml:space="preserve">Derived from MRV Engine using latitude, stocking date and harvest date. Solar radiation/daylight proxy only; not direct photosynthesis measurement.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-88</xdr:colOff>
                <xdr:row>3</xdr:row>
                <xdr:rowOff>12</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I6" authorId="0">
      <text>
        <r>
          <rPr>
            <sz val="10"/>
            <rFont val="Arial"/>
            <family val="2"/>
          </rPr>
          <t xml:space="preserve">Yellow input: actual kg purchased from invoice/batch records. Enter all four ingredients for invoice-derived formulation.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60</xdr:colOff>
                <xdr:row>3</xdr:row>
                <xdr:rowOff>18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K9" authorId="0">
      <text>
        <r>
          <rPr>
            <sz val="10"/>
            <rFont val="Arial"/>
            <family val="2"/>
          </rPr>
          <t xml:space="preserve">Bounded natural-food offset: up to 20% under favorable plankton + SPF conditions; capped at 5% when cyanobacteria &gt;50%; disabled if WQ completeness &lt;75%.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xdr:colOff>
                <xdr:row>3</xdr:row>
                <xdr:rowOff>18</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68" authorId="0">
      <text>
        <r>
          <rPr>
            <sz val="10"/>
            <rFont val="Arial"/>
            <family val="2"/>
          </rPr>
          <t xml:space="preserve">SOC change = (Post SOC% - Pre SOC%)/100 × Bulk Density(t/m³) × Depth(m) × Area(ha) × 10,000. Positive = accumulation; negative = depletion.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18</xdr:rowOff>
              </xdr:to>
            </anchor>
          </commentPr>
        </mc:Choice>
        <mc:Fallback/>
      </mc:AlternateContent>
    </comment>
  </commentList>
</comments>
</file>

<file path=xl/sharedStrings.xml><?xml version="1.0" encoding="utf-8"?>
<sst xmlns="http://schemas.openxmlformats.org/spreadsheetml/2006/main" count="1266" uniqueCount="878">
  <si>
    <t xml:space="preserve">Indian Aquaculture GHG &amp; Carbon Reduction Assessment Tool</t>
  </si>
  <si>
    <t xml:space="preserve">Version 3.3 (Excel) — IMC | Pangasius | Red Pacu | P. vannamei | P. monodon</t>
  </si>
  <si>
    <t xml:space="preserve">How this workbook works</t>
  </si>
  <si>
    <t xml:space="preserve">This is a linked calculation engine, not a static sheet. Select a Culture Type on the Dashboard and every downstream module — growth, feed, pond emissions, energy, carbon accounting — recalculates automatically from the Species Database and Feed Database.</t>
  </si>
  <si>
    <t xml:space="preserve">Sheet order &amp; purpose</t>
  </si>
  <si>
    <t xml:space="preserve">1. Dashboard — select culture type, enter farm details, view all headline results (production, GHG and cost/profit) in one place.</t>
  </si>
  <si>
    <t xml:space="preserve">2. Species Database — stocking, growth, harvest-stage, survival, aeration and FCR (average + improved target) parameters for all 5 culture types.</t>
  </si>
  <si>
    <t xml:space="preserve">3. Feed Database — ingredient/stage-level nutrient composition, emission factors and sourcing notes; blends into the feed profile used by each species.</t>
  </si>
  <si>
    <t xml:space="preserve">4. Growth &amp; Feed Model — period-by-period biomass growth (specific growth rate model) and cumulative feed requirement.</t>
  </si>
  <si>
    <t xml:space="preserve">5. Harvest Schedule — cascading partial/final (or count-stage) harvest events; population and biomass recalculate automatically after each event; determines actual Total Production.</t>
  </si>
  <si>
    <t xml:space="preserve">6. Feed Emission Model — feed manufacturing CO2e, and the feed carbon/nitrogen mass balance (retained vs. lost).</t>
  </si>
  <si>
    <t xml:space="preserve">7. Pond Emission Model — converts carbon/nitrogen lost to the pond into CH4 (with an oxidation correction) and N2O.</t>
  </si>
  <si>
    <t xml:space="preserve">8. Energy Module — paddlewheel, blowers, diesel, grid electricity and solar offset converted to CO2e.</t>
  </si>
  <si>
    <t xml:space="preserve">9. Economics Module — feed/electricity/diesel/labour/seed/probiotics cost, gross income, net profit, cost per kg and profit per tCO2e reduced.</t>
  </si>
  <si>
    <t xml:space="preserve">10. Improved Farming Scenario — tick the management changes you plan to apply; the sheet recalculates FCR, CH4, N2O and energy under the improved case.</t>
  </si>
  <si>
    <t xml:space="preserve">11. Carbon Accounting — Baseline vs. Improved gross emissions, carbon stored in harvested biomass, net emissions and emission intensity.</t>
  </si>
  <si>
    <t xml:space="preserve">12. Carbon Reduction Summary — the headline reduction and potential carbon credit equivalent.</t>
  </si>
  <si>
    <t xml:space="preserve">13. Sensitivity Analysis — approximate FCR, Survival and Energy-use sensitivity on emissions and net profit.</t>
  </si>
  <si>
    <t xml:space="preserve">14. Report — a clean, printable one-page summary pulling from all of the above.</t>
  </si>
  <si>
    <t xml:space="preserve">15. Scientific References — every default value, emission factor and coefficient used, with its citation, so any number in this tool can be traced and defended.</t>
  </si>
  <si>
    <t xml:space="preserve">Color legend</t>
  </si>
  <si>
    <t xml:space="preserve">Blue bold text on yellow fill = input cell (edit this)</t>
  </si>
  <si>
    <t xml:space="preserve">Black text = formula (do not edit)</t>
  </si>
  <si>
    <t xml:space="preserve">Navy header bar = section header</t>
  </si>
  <si>
    <t xml:space="preserve">Important caveat</t>
  </si>
  <si>
    <t xml:space="preserve">All species parameters, feed profiles, emission factors and improvement-measure effect sizes are literature-informed defaults for screening purposes. Before using this tool's output in a funding submission, DPR/BDP, or carbon credit claim, replace defaults with farm records and, where possible, field-measured DO/redox and gas-flux data as outlined in the accompanying Concept Note and Data Collection Checklist.</t>
  </si>
  <si>
    <t xml:space="preserve">This Excel version is Stage 1 of a three-stage roadmap (Excel → web application → AI-powered decision-support platform). It is built so every stage can reuse the same calculation logic.</t>
  </si>
  <si>
    <t xml:space="preserve">What's new in v2.2</t>
  </si>
  <si>
    <t xml:space="preserve">Pond Emission Model: added an optional Lime &amp; Fertilizer Emissions section (IPCC Tier 1 defaults) now folded into Gross Emission.</t>
  </si>
  <si>
    <t xml:space="preserve">Economics Module: added an Annual Rollup (Multi-Crop) block — Annual Production, Annual Total Cost, Annual Gross Income, Annual Net Profit.</t>
  </si>
  <si>
    <t xml:space="preserve">New Sensitivity Analysis sheet: approximate (first-order, proportional) FCR, Survival and Energy-use scenarios showing the effect on Net Emission, Emission Intensity and Net Profit — useful for seeing how thin/robust the farm's margin is.</t>
  </si>
  <si>
    <t xml:space="preserve">v2.1 carryover: IMC Species Database updated to reported farm practice; Harvest Schedule rebuilt as a cascading population model; Economics Module and expanded Dashboard added; References rebuilt with citations.</t>
  </si>
  <si>
    <t xml:space="preserve">Known limitations / not yet implemented</t>
  </si>
  <si>
    <t xml:space="preserve">Pangasius, Red Pacu, P. vannamei and P. monodon still use illustrative (not farm-validated) parameters — next priority for validation.</t>
  </si>
  <si>
    <t xml:space="preserve">Growth Model uses a single specific-growth-rate curve rather than a full stage-wise feed-intake model; adequate for screening but flagged for future refinement, especially for shrimp.</t>
  </si>
  <si>
    <t xml:space="preserve">Sensitivity Analysis is a proportional approximation (linear scaling from the baseline), not a full re-simulation of the Growth Model per scenario — treat as directional.</t>
  </si>
  <si>
    <t xml:space="preserve">See the new Change Log sheet for the full, version-by-version list of what changed and what remains deferred.</t>
  </si>
  <si>
    <t xml:space="preserve">Change Log</t>
  </si>
  <si>
    <t xml:space="preserve">Version</t>
  </si>
  <si>
    <t xml:space="preserve">Change</t>
  </si>
  <si>
    <t xml:space="preserve">Sheet(s) Affected</t>
  </si>
  <si>
    <t xml:space="preserve">v2.1</t>
  </si>
  <si>
    <t xml:space="preserve">IMC Species Database updated to reported farm practice (6,250/ha; 150g stocking; 1/1.5kg partial/final harvest; FCR 3.0/2.5).</t>
  </si>
  <si>
    <t xml:space="preserve">Species Database</t>
  </si>
  <si>
    <t xml:space="preserve">Harvest Schedule rebuilt as a cascading population model — event weights pulled from the growth curve; population/biomass carry forward after each event.</t>
  </si>
  <si>
    <t xml:space="preserve">Harvest Schedule</t>
  </si>
  <si>
    <t xml:space="preserve">New Economics Module: feed/electricity/diesel/labour/seed/probiotics cost, gross income, net profit, cost/profit per kg.</t>
  </si>
  <si>
    <t xml:space="preserve">Economics Module</t>
  </si>
  <si>
    <t xml:space="preserve">Dashboard expanded with cost and carbon-fate outputs; Scientific References rebuilt with a dedicated Citation column.</t>
  </si>
  <si>
    <t xml:space="preserve">Dashboard, Scientific References</t>
  </si>
  <si>
    <t xml:space="preserve">v2.2</t>
  </si>
  <si>
    <t xml:space="preserve">Added Lime &amp; Fertilizer Emissions (IPCC Tier 1 defaults), folded into Gross Emission.</t>
  </si>
  <si>
    <t xml:space="preserve">Pond Emission Model, Carbon Accounting</t>
  </si>
  <si>
    <t xml:space="preserve">Added Annual Rollup (Multi-Crop) to Economics Module.</t>
  </si>
  <si>
    <t xml:space="preserve">New Sensitivity Analysis sheet: FCR, Survival and Energy-use scenarios vs. Net Emission, Emission Intensity, Net Profit.</t>
  </si>
  <si>
    <t xml:space="preserve">Sensitivity Analysis</t>
  </si>
  <si>
    <t xml:space="preserve">v2.3</t>
  </si>
  <si>
    <t xml:space="preserve">Added GWP AR5/AR6 toggle (later moved to Dashboard in v3.0), N2O-N EF presets (0.71%/1.8%/Custom), and an Anaerobic Fraction Adjustment Factor (0.8-1.5).</t>
  </si>
  <si>
    <t xml:space="preserve">Pond Emission Model</t>
  </si>
  <si>
    <t xml:space="preserve">Added a Stage FCR Multiplier column to the Growth Model's period table (default 1.00, editable per period).</t>
  </si>
  <si>
    <t xml:space="preserve">Growth &amp; Feed Model</t>
  </si>
  <si>
    <t xml:space="preserve">Added Generator Efficiency (informational) and solar-sizing guidance.</t>
  </si>
  <si>
    <t xml:space="preserve">Energy Module</t>
  </si>
  <si>
    <t xml:space="preserve">Added an optional, strongly-caveated Sediment Organic Carbon Sequestration estimate (informational only, NOT counted in Net Emission) and an Edible-Yield Emission Intensity metric.</t>
  </si>
  <si>
    <t xml:space="preserve">Carbon Accounting</t>
  </si>
  <si>
    <t xml:space="preserve">Added two new Improved Farming measures: Optimized Feeding Timing and C/N Ratio Management (carbon source dosing) — combined multiplicatively with the original five.</t>
  </si>
  <si>
    <t xml:space="preserve">Improved Farming Scenario</t>
  </si>
  <si>
    <t xml:space="preserve">Added an Anaerobic Fraction sensitivity block and expanded the disclaimer to flag single-driver, non-joint, approximate limitations.</t>
  </si>
  <si>
    <t xml:space="preserve">v3.0</t>
  </si>
  <si>
    <t xml:space="preserve">Moved the GWP Framework toggle (AR5/AR6) to the Dashboard as the single source of truth; Pond Emission Model now follows it automatically.</t>
  </si>
  <si>
    <t xml:space="preserve">Dashboard, Pond Emission Model</t>
  </si>
  <si>
    <t xml:space="preserve">Added a Sediment Carbon Burial/Sequestration Fraction (10-30%, default 20%) that nets out of the active anaerobic carbon pool before CH4 is calculated — previously all non-retained carbon was treated as available for methanogenesis.</t>
  </si>
  <si>
    <t xml:space="preserve">Pond Emission Model, Improved Farming Scenario</t>
  </si>
  <si>
    <t xml:space="preserve">Added an optional Pond Idle/Sun-Drying Phase emission line (illustrative EF, flagged for field validation) covering the inter-crop period, folded into Gross Emission.</t>
  </si>
  <si>
    <t xml:space="preserve">Added a Logistic (Sigmoidal) growth curve option alongside the existing Exponential (SGR) curve — tapers growth near harvest weight instead of accelerating indefinitely; solved to pass through the actual harvest weight at the culture duration.</t>
  </si>
  <si>
    <t xml:space="preserve">Added Mortality Feed Consumption: feed intake by stock that die during a period is now partially counted (editable factor, default 50% of a full ration) rather than assuming only survivors ate.</t>
  </si>
  <si>
    <t xml:space="preserve">Harvest Schedule and Energy Module aeration inputs are now dynamically synced to Culture Type via a species-defaults reference table; changing Culture Type on the Dashboard auto-fills Day/Count/%Harvested and paddlewheel/blower defaults. Type over any cell to override — Excel-native, since this workbook intentionally avoids macros/VBA for portability.</t>
  </si>
  <si>
    <t xml:space="preserve">Harvest Schedule, Energy Module</t>
  </si>
  <si>
    <t xml:space="preserve">Sensitivity Analysis's fixed-cost terms updated to include the new Idle Phase CO2e for internal consistency.</t>
  </si>
  <si>
    <t xml:space="preserve">v3.1</t>
  </si>
  <si>
    <t xml:space="preserve">Replaced the redox-potential (Eh) calibration guidance for Anaerobic Fraction with a Dissolved Oxygen + Hydrogen Sulphate (H2S) rule, grounded in an actual regional aqua lab water report — redox probes are not realistically available on-farm, but DO and H2S are standard fields on every lab report farmers already receive.</t>
  </si>
  <si>
    <t xml:space="preserve">v3.2</t>
  </si>
  <si>
    <t xml:space="preserve">v3.3</t>
  </si>
  <si>
    <t xml:space="preserve">Not yet implemented (deferred)</t>
  </si>
  <si>
    <t xml:space="preserve">• Charts (emissions breakdown pie, baseline vs. improved bars, sensitivity tornado) — candidate for next revision.</t>
  </si>
  <si>
    <t xml:space="preserve">• Cell/sheet protection (locking formulas while keeping inputs editable) — candidate for next revision.</t>
  </si>
  <si>
    <t xml:space="preserve">• Dashboard traffic-light Validation Score and prominent Harvest-vs-Growth variance flag — the variance figure exists on Harvest Schedule today but is not yet mirrored to the Dashboard with conditional formatting.</t>
  </si>
  <si>
    <t xml:space="preserve">• True multi-pond/multi-farm support (independent species/size per pond) — only single-pond-scaled-by-crops-per-year exists today.</t>
  </si>
  <si>
    <t xml:space="preserve">• One-click automated PDF export — manual Print/Export to PDF on the Report sheet works today.</t>
  </si>
  <si>
    <t xml:space="preserve">• Custom ingredient rows in the Feed Database beyond editing the existing DOB/GNC/SBM/DDGS and per-stage entries directly.</t>
  </si>
  <si>
    <t xml:space="preserve">• Pangasius, Red Pacu, P. vannamei and P. monodon species/growth parameters remain illustrative, not farm-validated.</t>
  </si>
  <si>
    <t xml:space="preserve">v3.4</t>
  </si>
  <si>
    <t xml:space="preserve">2026-08-18</t>
  </si>
  <si>
    <t xml:space="preserve">Dynamic field-data MRV engine for IMC: geospatial SPF, actual feed mix, WQ/plankton log, PQI/natural-feed offset, dynamic anaerobic fraction, cyanobacteria N2O adjustment, DO stress, Punch Bag, measured SOC, C:N risk, IMC aeration lock, CEA EF version control, MRV integrity checks.</t>
  </si>
  <si>
    <t xml:space="preserve">Indian Aquaculture GHG &amp; Carbon Reduction Dashboard</t>
  </si>
  <si>
    <t xml:space="preserve">Select culture type and enter farm details. All results below update automatically.</t>
  </si>
  <si>
    <t xml:space="preserve">After changing Culture Type: update quantities on Harvest Schedule and farm-record inputs. For IMC, aeration is hard-locked to zero. Use the new field-data blocks for MRV.</t>
  </si>
  <si>
    <t xml:space="preserve">A. Farm &amp; Crop Details</t>
  </si>
  <si>
    <t xml:space="preserve">Culture Type</t>
  </si>
  <si>
    <t xml:space="preserve">IMC</t>
  </si>
  <si>
    <t xml:space="preserve">select</t>
  </si>
  <si>
    <t xml:space="preserve">Choose from the 5 supported culture types</t>
  </si>
  <si>
    <t xml:space="preserve">Farm Name</t>
  </si>
  <si>
    <t xml:space="preserve">Sample Farm</t>
  </si>
  <si>
    <t xml:space="preserve">text</t>
  </si>
  <si>
    <t xml:space="preserve">Farmer Name</t>
  </si>
  <si>
    <t xml:space="preserve">State</t>
  </si>
  <si>
    <t xml:space="preserve">Andhra Pradesh</t>
  </si>
  <si>
    <t xml:space="preserve">District</t>
  </si>
  <si>
    <t xml:space="preserve">District Name</t>
  </si>
  <si>
    <t xml:space="preserve">Pond Area</t>
  </si>
  <si>
    <t xml:space="preserve">ha</t>
  </si>
  <si>
    <t xml:space="preserve">Total water spread area</t>
  </si>
  <si>
    <t xml:space="preserve">Average Water Depth</t>
  </si>
  <si>
    <t xml:space="preserve">m</t>
  </si>
  <si>
    <t xml:space="preserve">For reference / MRV context</t>
  </si>
  <si>
    <t xml:space="preserve">Number of Crops per Year</t>
  </si>
  <si>
    <t xml:space="preserve">crops/yr</t>
  </si>
  <si>
    <t xml:space="preserve">1 for carp/pangasius; 2 for many shrimp systems</t>
  </si>
  <si>
    <t xml:space="preserve">Farm-Reported FCR (optional override)</t>
  </si>
  <si>
    <t xml:space="preserve">ratio</t>
  </si>
  <si>
    <t xml:space="preserve">Leave blank to use the species default FCR</t>
  </si>
  <si>
    <t xml:space="preserve">GWP Framework Version</t>
  </si>
  <si>
    <t xml:space="preserve">AR5</t>
  </si>
  <si>
    <t xml:space="preserve">AR5 / AR6</t>
  </si>
  <si>
    <t xml:space="preserve">AR5 = IPCC 2013 (CH4 GWP=28, N2O GWP=265); AR6 = IPCC 2021 (CH4 GWP=27 biogenic, N2O GWP=273). Drives GWP values used in the Pond Emission Model and all downstream sheets.</t>
  </si>
  <si>
    <t xml:space="preserve">B. Selected Species Parameters (auto-filled from Species Database)</t>
  </si>
  <si>
    <t xml:space="preserve">Category</t>
  </si>
  <si>
    <t xml:space="preserve">Stocking Density</t>
  </si>
  <si>
    <t xml:space="preserve">Stocking Weight</t>
  </si>
  <si>
    <t xml:space="preserve">Partial Harvest Weight</t>
  </si>
  <si>
    <t xml:space="preserve">Final Harvest Weight</t>
  </si>
  <si>
    <t xml:space="preserve">Culture Duration</t>
  </si>
  <si>
    <t xml:space="preserve">Survival</t>
  </si>
  <si>
    <t xml:space="preserve">Aeration Required</t>
  </si>
  <si>
    <t xml:space="preserve">Average FCR</t>
  </si>
  <si>
    <t xml:space="preserve">Improved FCR Target</t>
  </si>
  <si>
    <t xml:space="preserve">Feed Manufacturing EF</t>
  </si>
  <si>
    <t xml:space="preserve">Feed Carbon Content</t>
  </si>
  <si>
    <t xml:space="preserve">Feed Nitrogen Content</t>
  </si>
  <si>
    <t xml:space="preserve">Actual Feed Used in Crop (MRV override)</t>
  </si>
  <si>
    <t xml:space="preserve">kg</t>
  </si>
  <si>
    <t xml:space="preserve">Enter verified feed actually consumed during this crop; leave blank to use modeled feed requirement.</t>
  </si>
  <si>
    <t xml:space="preserve">Actual FCR Used in Model</t>
  </si>
  <si>
    <t xml:space="preserve">Improved FCR Target (species reference)</t>
  </si>
  <si>
    <t xml:space="preserve">Compare against Improved Farming Scenario's modelled result</t>
  </si>
  <si>
    <t xml:space="preserve">Punch Bag Feeding System</t>
  </si>
  <si>
    <t xml:space="preserve">No</t>
  </si>
  <si>
    <t xml:space="preserve">Yes/No</t>
  </si>
  <si>
    <t xml:space="preserve">IMC management input. If Yes, Growth Model applies the configured FCR improvement once; do not double-count in Improved Scenario.</t>
  </si>
  <si>
    <t xml:space="preserve">C. Key Outputs — Baseline Crop Summary</t>
  </si>
  <si>
    <t xml:space="preserve">Total Production</t>
  </si>
  <si>
    <t xml:space="preserve">Total Feed Required</t>
  </si>
  <si>
    <t xml:space="preserve">Feed Cost</t>
  </si>
  <si>
    <t xml:space="preserve">Rs</t>
  </si>
  <si>
    <t xml:space="preserve">Feed Carbon</t>
  </si>
  <si>
    <t xml:space="preserve">kg C</t>
  </si>
  <si>
    <t xml:space="preserve">Carbon Retained in Biomass</t>
  </si>
  <si>
    <t xml:space="preserve">Carbon Lost to Pond</t>
  </si>
  <si>
    <t xml:space="preserve">CH4 Emission (CO2e)</t>
  </si>
  <si>
    <t xml:space="preserve">tCO2e</t>
  </si>
  <si>
    <t xml:space="preserve">N2O Emission (CO2e)</t>
  </si>
  <si>
    <t xml:space="preserve">Electricity Cost</t>
  </si>
  <si>
    <t xml:space="preserve">Diesel Cost</t>
  </si>
  <si>
    <t xml:space="preserve">Energy CO2e</t>
  </si>
  <si>
    <t xml:space="preserve">Total Gross CO2e</t>
  </si>
  <si>
    <t xml:space="preserve">Net Emission</t>
  </si>
  <si>
    <t xml:space="preserve">CO2e per kg Production</t>
  </si>
  <si>
    <t xml:space="preserve">kgCO2e/kg</t>
  </si>
  <si>
    <t xml:space="preserve">Carbon Reduction (Improved vs. Baseline)</t>
  </si>
  <si>
    <t xml:space="preserve">tCO2e/crop</t>
  </si>
  <si>
    <t xml:space="preserve">Potential Carbon Credit Equivalent (per year)</t>
  </si>
  <si>
    <t xml:space="preserve">tCO2e/yr</t>
  </si>
  <si>
    <t xml:space="preserve">Net Profit</t>
  </si>
  <si>
    <t xml:space="preserve">D. Geospatial &amp; Seasonal Inputs</t>
  </si>
  <si>
    <t xml:space="preserve">Latitude</t>
  </si>
  <si>
    <t xml:space="preserve">decimal degrees</t>
  </si>
  <si>
    <t xml:space="preserve">India-focused range 6 to 37.5°N</t>
  </si>
  <si>
    <t xml:space="preserve">Stocking Date</t>
  </si>
  <si>
    <t xml:space="preserve">date</t>
  </si>
  <si>
    <t xml:space="preserve">Farm-record input</t>
  </si>
  <si>
    <t xml:space="preserve">Harvest Date</t>
  </si>
  <si>
    <t xml:space="preserve">Seasonal Photosynthesis Factor (SPF)</t>
  </si>
  <si>
    <t xml:space="preserve">0–1</t>
  </si>
  <si>
    <t xml:space="preserve">Derived solar/daylight proxy; passed to Growth Model</t>
  </si>
  <si>
    <t xml:space="preserve">SPF Data Status</t>
  </si>
  <si>
    <t xml:space="preserve">status</t>
  </si>
  <si>
    <t xml:space="preserve">Derived / default status</t>
  </si>
  <si>
    <t xml:space="preserve">E. MRV Integrity Status</t>
  </si>
  <si>
    <t xml:space="preserve">Overall MRV Status</t>
  </si>
  <si>
    <t xml:space="preserve">Master audit-readiness indicator</t>
  </si>
  <si>
    <t xml:space="preserve">Date Integrity</t>
  </si>
  <si>
    <t xml:space="preserve">Latitude Integrity</t>
  </si>
  <si>
    <t xml:space="preserve">IMC Aeration Lock</t>
  </si>
  <si>
    <t xml:space="preserve">Feed Mix Integrity</t>
  </si>
  <si>
    <t xml:space="preserve">WQ Data Completeness</t>
  </si>
  <si>
    <t xml:space="preserve">Harvest Biomass Check</t>
  </si>
  <si>
    <t xml:space="preserve">Feed Carbon Balance</t>
  </si>
  <si>
    <t xml:space="preserve">Feed Nitrogen Balance</t>
  </si>
  <si>
    <t xml:space="preserve">SOC Test Integrity</t>
  </si>
  <si>
    <t xml:space="preserve">Actual Feed MRV</t>
  </si>
  <si>
    <t xml:space="preserve">Editable defaults (yellow). Feed Carbon/Nitrogen/EF columns are linked formulas pulling the blended profile from the Feed Database sheet. IMC values reflect reported farm practice (v2.1); other species remain illustrative pending validation.</t>
  </si>
  <si>
    <t xml:space="preserve">Stocking Density
(no./ha)</t>
  </si>
  <si>
    <t xml:space="preserve">Stocking Weight
(g)</t>
  </si>
  <si>
    <t xml:space="preserve">Partial Harvest
Weight (g)</t>
  </si>
  <si>
    <t xml:space="preserve">Final Harvest
Weight (g)</t>
  </si>
  <si>
    <t xml:space="preserve">Culture Duration
(days)</t>
  </si>
  <si>
    <t xml:space="preserve">Survival
(%)</t>
  </si>
  <si>
    <t xml:space="preserve">Aeration
Required</t>
  </si>
  <si>
    <t xml:space="preserve">Average FCR
(Baseline)</t>
  </si>
  <si>
    <t xml:space="preserve">Improved FCR
(Target)</t>
  </si>
  <si>
    <t xml:space="preserve">Feed Mfg. EF
(kgCO2e/kg)</t>
  </si>
  <si>
    <t xml:space="preserve">Feed Carbon
Content (%)</t>
  </si>
  <si>
    <t xml:space="preserve">Feed Nitrogen
Content (%)</t>
  </si>
  <si>
    <t xml:space="preserve">Notes / Source</t>
  </si>
  <si>
    <t xml:space="preserve">Aeration Lock</t>
  </si>
  <si>
    <t xml:space="preserve">Paddlewheel Hours</t>
  </si>
  <si>
    <t xml:space="preserve">Blower Hours</t>
  </si>
  <si>
    <t xml:space="preserve">Freshwater Fish (polyculture)</t>
  </si>
  <si>
    <t xml:space="preserve">IMC hard constraint: no mechanical aeration; Paddlewheel/Blower hours must remain zero. Parameters otherwise reflect reported AP farm practice.</t>
  </si>
  <si>
    <t xml:space="preserve">LOCKED</t>
  </si>
  <si>
    <t xml:space="preserve">Pangasius</t>
  </si>
  <si>
    <t xml:space="preserve">Freshwater Fish (monoculture)</t>
  </si>
  <si>
    <t xml:space="preserve">Illustrative intensive pond defaults — not yet validated against farm records. Single (final) harvest assumed — set Partial Harvest Weight if the farm thins the pond.</t>
  </si>
  <si>
    <t xml:space="preserve">OPEN</t>
  </si>
  <si>
    <t xml:space="preserve">Red Pacu</t>
  </si>
  <si>
    <t xml:space="preserve">Yes</t>
  </si>
  <si>
    <t xml:space="preserve">Illustrative defaults — not yet validated against farm records.</t>
  </si>
  <si>
    <t xml:space="preserve">P. vannamei</t>
  </si>
  <si>
    <t xml:space="preserve">Shrimp</t>
  </si>
  <si>
    <t xml:space="preserve">Illustrative defaults — not yet validated. Count-stage harvests (80/60/40/30 count) are modelled event-by-event on the Harvest Schedule sheet; Partial/Final Harvest Weight here are reference points only (60 count / 30 count).</t>
  </si>
  <si>
    <t xml:space="preserve">P. monodon</t>
  </si>
  <si>
    <t xml:space="preserve">Illustrative defaults — not yet validated. First thinning at 30 count, final harvest averaged at 10-20 count (66.7 g) — modelled on the Harvest Schedule sheet.</t>
  </si>
  <si>
    <t xml:space="preserve">Feed Database</t>
  </si>
  <si>
    <t xml:space="preserve">Enter feed mix % by ingredient/stage (each block must sum to 100%). Blended rows compute the weighted-average nutrient and emission profile used by Species Database.</t>
  </si>
  <si>
    <t xml:space="preserve">A. IMC — Ingredient Mix</t>
  </si>
  <si>
    <t xml:space="preserve">Ingredient</t>
  </si>
  <si>
    <t xml:space="preserve">Protein %</t>
  </si>
  <si>
    <t xml:space="preserve">Fat %</t>
  </si>
  <si>
    <t xml:space="preserve">Fibre %</t>
  </si>
  <si>
    <t xml:space="preserve">Carbon %</t>
  </si>
  <si>
    <t xml:space="preserve">Nitrogen %
(=Protein/6.25)</t>
  </si>
  <si>
    <t xml:space="preserve">Emission Factor
(kgCO2e/kg)</t>
  </si>
  <si>
    <t xml:space="preserve">% of IMC
Feed Mix</t>
  </si>
  <si>
    <t xml:space="preserve">Actual Purchased kg</t>
  </si>
  <si>
    <t xml:space="preserve">Actual Mix %</t>
  </si>
  <si>
    <t xml:space="preserve">De-oiled Bran (DOB)</t>
  </si>
  <si>
    <t xml:space="preserve">Groundnut Cake (GNC)</t>
  </si>
  <si>
    <t xml:space="preserve">Soybean Meal (SBM)</t>
  </si>
  <si>
    <t xml:space="preserve">DDGS</t>
  </si>
  <si>
    <t xml:space="preserve">Mix % check (must = 100%)</t>
  </si>
  <si>
    <t xml:space="preserve">IMC Blended Feed Profile</t>
  </si>
  <si>
    <t xml:space="preserve">Actual kg if entered; reference mix otherwise</t>
  </si>
  <si>
    <t xml:space="preserve">MRV note: Actual Purchased kg drives the blended feed profile when entered. Keep invoices/batch references in the adjacent Notes/Source field or farm records.</t>
  </si>
  <si>
    <t xml:space="preserve">B. Pangasius — Feed Stages</t>
  </si>
  <si>
    <t xml:space="preserve">Feed Stage</t>
  </si>
  <si>
    <t xml:space="preserve">% of Total Feed</t>
  </si>
  <si>
    <t xml:space="preserve">Starter</t>
  </si>
  <si>
    <t xml:space="preserve">Grower</t>
  </si>
  <si>
    <t xml:space="preserve">Finisher</t>
  </si>
  <si>
    <t xml:space="preserve">Blended Feed Profile</t>
  </si>
  <si>
    <t xml:space="preserve">Source: Indicative commercial pangasius feed protein/carbon values — cross-check against feed mill spec sheets (e.g., CIFA/ICAR pangasius nutrition literature).</t>
  </si>
  <si>
    <t xml:space="preserve">C. Red Pacu — Feed Stages</t>
  </si>
  <si>
    <t xml:space="preserve">Source: Indicative commercial feed protein/carbon values, aligned to pangasius-equivalent stages pending Red Pacu-specific data — cross-check against feed mill spec sheets.</t>
  </si>
  <si>
    <t xml:space="preserve">D. Shrimp — Feed Stages (Species A = P. vannamei, Species B = P. monodon)</t>
  </si>
  <si>
    <t xml:space="preserve">% Total Feed
(Species A)</t>
  </si>
  <si>
    <t xml:space="preserve">% Total Feed
(Species B)</t>
  </si>
  <si>
    <t xml:space="preserve">Pre-Starter</t>
  </si>
  <si>
    <t xml:space="preserve">Grower I</t>
  </si>
  <si>
    <t xml:space="preserve">Grower II</t>
  </si>
  <si>
    <t xml:space="preserve">Grower III</t>
  </si>
  <si>
    <t xml:space="preserve">Blended Feed Profile (Species A)</t>
  </si>
  <si>
    <t xml:space="preserve">Blended Feed Profile (Species B)</t>
  </si>
  <si>
    <t xml:space="preserve">Source: Indicative commercial shrimp feed protein/carbon values by stage — cross-check against CIBA (ICAR-Central Institute of Brackishwater Aquaculture) shrimp feed literature and feed mill spec sheets.</t>
  </si>
  <si>
    <t xml:space="preserve">E. Blended Feed Profile Summary (used by Species Database)</t>
  </si>
  <si>
    <t xml:space="preserve">Nitrogen %</t>
  </si>
  <si>
    <t xml:space="preserve">Specific Growth Rate (SGR) model from Dashboard/Species Database inputs. Do not edit — pulls automatically.</t>
  </si>
  <si>
    <t xml:space="preserve">Reference Inputs (from Dashboard)</t>
  </si>
  <si>
    <t xml:space="preserve">Dynamic Ecological Adjustment Engine</t>
  </si>
  <si>
    <t xml:space="preserve">no./ha</t>
  </si>
  <si>
    <t xml:space="preserve">Seasonal Photosynthesis Factor</t>
  </si>
  <si>
    <t xml:space="preserve">Derived from latitude and crop dates</t>
  </si>
  <si>
    <t xml:space="preserve">Average PQI</t>
  </si>
  <si>
    <t xml:space="preserve">Diatoms + green algae + zooplankton</t>
  </si>
  <si>
    <t xml:space="preserve">Total Stocked Number</t>
  </si>
  <si>
    <t xml:space="preserve">nos.</t>
  </si>
  <si>
    <t xml:space="preserve">Formula: Stocking density x Pond area</t>
  </si>
  <si>
    <t xml:space="preserve">fraction</t>
  </si>
  <si>
    <t xml:space="preserve">Weekly data completeness</t>
  </si>
  <si>
    <t xml:space="preserve">Initial Weight</t>
  </si>
  <si>
    <t xml:space="preserve">g</t>
  </si>
  <si>
    <t xml:space="preserve">Average Cyanobacteria %</t>
  </si>
  <si>
    <t xml:space="preserve">Field log average</t>
  </si>
  <si>
    <t xml:space="preserve">Harvest Weight</t>
  </si>
  <si>
    <t xml:space="preserve">Natural Feed Offset</t>
  </si>
  <si>
    <t xml:space="preserve">Bounded natural-food credit; disabled when WQ data &lt;75%</t>
  </si>
  <si>
    <t xml:space="preserve">days</t>
  </si>
  <si>
    <t xml:space="preserve">Punch Bag Feeding</t>
  </si>
  <si>
    <t xml:space="preserve">Management input</t>
  </si>
  <si>
    <t xml:space="preserve">%</t>
  </si>
  <si>
    <t xml:space="preserve">Punch Bag FCR Improvement</t>
  </si>
  <si>
    <t xml:space="preserve">Single applied FCR improvement; 10% wastage reduction retained as a KPI, not double-counted</t>
  </si>
  <si>
    <t xml:space="preserve">FCR Used</t>
  </si>
  <si>
    <t xml:space="preserve">Pre-Dawn DO Stress Factor</t>
  </si>
  <si>
    <t xml:space="preserve">multiplier</t>
  </si>
  <si>
    <t xml:space="preserve">10% FCR penalty when predawn DO &lt;3 mg/L and adequate WQ records exist</t>
  </si>
  <si>
    <t xml:space="preserve">Specific Growth Rate constant (k)</t>
  </si>
  <si>
    <t xml:space="preserve">per day</t>
  </si>
  <si>
    <t xml:space="preserve">Formula: LN(Harvest wt / Initial wt) / Duration</t>
  </si>
  <si>
    <t xml:space="preserve">Effective FCR</t>
  </si>
  <si>
    <t xml:space="preserve">Feeds the period-by-period feed equations</t>
  </si>
  <si>
    <t xml:space="preserve">Punch Bag Wastage KPI</t>
  </si>
  <si>
    <t xml:space="preserve">Informational; do not multiply again into FCR</t>
  </si>
  <si>
    <t xml:space="preserve">Period-by-Period Growth &amp; Feed Table (6 equal periods)</t>
  </si>
  <si>
    <t xml:space="preserve">Data Quality Grade</t>
  </si>
  <si>
    <t xml:space="preserve">grade</t>
  </si>
  <si>
    <t xml:space="preserve">A≥90%, B≥75%, C&lt;75%, D=no field data</t>
  </si>
  <si>
    <t xml:space="preserve">Period</t>
  </si>
  <si>
    <t xml:space="preserve">Day</t>
  </si>
  <si>
    <t xml:space="preserve">Individual Weight (g)</t>
  </si>
  <si>
    <t xml:space="preserve">Surviving Population</t>
  </si>
  <si>
    <t xml:space="preserve">Standing Biomass (kg)</t>
  </si>
  <si>
    <t xml:space="preserve">Period Feed Required (kg)</t>
  </si>
  <si>
    <t xml:space="preserve">Cumulative Feed (kg)</t>
  </si>
  <si>
    <t xml:space="preserve">Stage FCR
Multiplier</t>
  </si>
  <si>
    <t xml:space="preserve">Dynamic field-data adjustments (v3.4): effective FCR includes Punch Bag and DO stress; natural-feed offset is bounded by SPF/PQI and disabled below 75% WQ completeness. Population/harvest cascade remains unchanged.</t>
  </si>
  <si>
    <t xml:space="preserve">Growth Model Outputs</t>
  </si>
  <si>
    <t xml:space="preserve">Total Feed Required (Growth Model estimate)</t>
  </si>
  <si>
    <t xml:space="preserve">Formula: Cumulative feed at final period</t>
  </si>
  <si>
    <t xml:space="preserve">Estimated Standing Biomass at Culture End</t>
  </si>
  <si>
    <t xml:space="preserve">Reference figure for Harvest Schedule cross-check</t>
  </si>
  <si>
    <t xml:space="preserve">Advanced Growth Options (v3.0)</t>
  </si>
  <si>
    <t xml:space="preserve">Growth Curve Type</t>
  </si>
  <si>
    <t xml:space="preserve">Exponential (SGR)</t>
  </si>
  <si>
    <t xml:space="preserve">Exponential / Logistic</t>
  </si>
  <si>
    <t xml:space="preserve">Exponential (SGR) overestimates late-stage biomass for some systems; Logistic (Sigmoidal) tapers growth as the stock approaches harvest weight and is often more realistic, especially for shrimp</t>
  </si>
  <si>
    <t xml:space="preserve">Logistic Asymptotic Weight (Wmax)</t>
  </si>
  <si>
    <t xml:space="preserve">Formula: Harvest weight / 0.98 — sets the curve's ceiling just above the target harvest weight</t>
  </si>
  <si>
    <t xml:space="preserve">Logistic Growth Rate (r)</t>
  </si>
  <si>
    <t xml:space="preserve">Solved so the logistic curve passes through the harvest weight at the culture duration</t>
  </si>
  <si>
    <t xml:space="preserve">Mortality Feed Consumption Factor</t>
  </si>
  <si>
    <t xml:space="preserve">Fraction of a full ration consumed by stock that die during the period, before death — 0 ignores mortality feed entirely, 1 assumes dying stock ate a full ration throughout the period. Applied to the Period Feed Required formula below.</t>
  </si>
  <si>
    <t xml:space="preserve">Empirical IMC Feeding Rate Reference (v3.2, informational — not wired into the calculation)</t>
  </si>
  <si>
    <t xml:space="preserve">A published field survey (2010) of IMC feeding rates by body weight, using %body-weight/day feeding rates for two regimes: sinking pellet (20% protein) + de-oiled rice bran, versus floating feed alone (22% protein). Shown here as a cross-check on the Average FCR entered in the Species Database, not as a replacement for farm-reported data — real farm FCR reflects feed wastage and water-quality losses that an idealized feeding-rate table does not capture.</t>
  </si>
  <si>
    <t xml:space="preserve">Initial Weight
(kg)</t>
  </si>
  <si>
    <t xml:space="preserve">Monthly Growth
(kg/month)</t>
  </si>
  <si>
    <t xml:space="preserve">Sinking Feed Rate
(%BW/day, 20% pr.)</t>
  </si>
  <si>
    <t xml:space="preserve">DOB Feed Rate
(%BW/day)</t>
  </si>
  <si>
    <t xml:space="preserve">Total (Sinking+DOB)
Rate (%BW/day)</t>
  </si>
  <si>
    <t xml:space="preserve">Floating Feed Rate
(%BW/day, 22% pr.)</t>
  </si>
  <si>
    <t xml:space="preserve">Implied Monthly FCR
(Sinking+DOB / Floating)</t>
  </si>
  <si>
    <t xml:space="preserve">Cumulative implied FCR, 0.100 → 1.220 kg (8 months / 240 days)</t>
  </si>
  <si>
    <t xml:space="preserve">← Sinking+DOB / Floating</t>
  </si>
  <si>
    <t xml:space="preserve">Each event's weight comes from the Growth Model's growth curve (or a count-per-kg override for shrimp). Population and biomass cascade forward automatically after every harvest event.</t>
  </si>
  <si>
    <t xml:space="preserve">Defaults below reflect IMC (partial harvest ~1 kg, final ~1.5 kg). For P. vannamei, use 4 events at 80/60/40/30 count; for P. monodon, use 2 events at 30 count then a final 10-20 count (avg. 15 count). Edit Day, Count and % Harvested to match your species after switching Culture Type on the Dashboard.</t>
  </si>
  <si>
    <t xml:space="preserve">Total Stocked Number (Growth Model reference)</t>
  </si>
  <si>
    <t xml:space="preserve">Estimated Standing Biomass at Culture End (Growth Model reference)</t>
  </si>
  <si>
    <t xml:space="preserve">Compare against total harvested quantity below</t>
  </si>
  <si>
    <t xml:space="preserve">Harvest Events</t>
  </si>
  <si>
    <t xml:space="preserve">Harvest Event
(editable label)</t>
  </si>
  <si>
    <t xml:space="preserve">Count per kg
(shrimp, optional)</t>
  </si>
  <si>
    <t xml:space="preserve">Weight Used
(g)</t>
  </si>
  <si>
    <t xml:space="preserve">Population
Before Event</t>
  </si>
  <si>
    <t xml:space="preserve">% of Remaining
Population Harvested</t>
  </si>
  <si>
    <t xml:space="preserve">Population
Harvested</t>
  </si>
  <si>
    <t xml:space="preserve">Quantity
Harvested (kg)</t>
  </si>
  <si>
    <t xml:space="preserve">Population
Remaining After</t>
  </si>
  <si>
    <t xml:space="preserve">Partial Harvest</t>
  </si>
  <si>
    <t xml:space="preserve">Final Harvest</t>
  </si>
  <si>
    <t xml:space="preserve">Harvest Event 3</t>
  </si>
  <si>
    <t xml:space="preserve">Harvest Event 4</t>
  </si>
  <si>
    <t xml:space="preserve">TOTAL PRODUCTION</t>
  </si>
  <si>
    <t xml:space="preserve">Formula: Sum of all harvest quantities — this is the canonical production figure used downstream</t>
  </si>
  <si>
    <t xml:space="preserve">Variance vs. Growth Model Estimate</t>
  </si>
  <si>
    <t xml:space="preserve">Large variance suggests growth model defaults need site calibration</t>
  </si>
  <si>
    <t xml:space="preserve">Variance %</t>
  </si>
  <si>
    <t xml:space="preserve">Species Harvest Defaults (v3.0) — auto-fills Day/Count/% above when Culture Type changes on the Dashboard</t>
  </si>
  <si>
    <t xml:space="preserve">The Day, Count per kg and % Harvested cells above are FORMULAS that read the row matching the current Culture Type below. To customize for your farm, simply type your own number directly into any of those cells — your typed value replaces the formula and stops auto-syncing for that cell. To restore auto-sync later, copy the formula back from the matching cell in the table below.</t>
  </si>
  <si>
    <t xml:space="preserve">Ev.1 Day</t>
  </si>
  <si>
    <t xml:space="preserve">Ev.1 Count</t>
  </si>
  <si>
    <t xml:space="preserve">Ev.1 %</t>
  </si>
  <si>
    <t xml:space="preserve">Ev.2 Day</t>
  </si>
  <si>
    <t xml:space="preserve">Ev.2 Count</t>
  </si>
  <si>
    <t xml:space="preserve">Ev.2 %</t>
  </si>
  <si>
    <t xml:space="preserve">Ev.3 Day</t>
  </si>
  <si>
    <t xml:space="preserve">Ev.3 Count</t>
  </si>
  <si>
    <t xml:space="preserve">Ev.3 %</t>
  </si>
  <si>
    <t xml:space="preserve">Ev.4 Day</t>
  </si>
  <si>
    <t xml:space="preserve">Ev.4 Count</t>
  </si>
  <si>
    <t xml:space="preserve">Ev.4 %</t>
  </si>
  <si>
    <t xml:space="preserve">Feed Emission Model (Scope 3)</t>
  </si>
  <si>
    <t xml:space="preserve">Reference Inputs</t>
  </si>
  <si>
    <t xml:space="preserve">Actual Feed Used override if entered; otherwise modeled feed requirement.</t>
  </si>
  <si>
    <t xml:space="preserve">Feed Manufacturing Emission Factor</t>
  </si>
  <si>
    <t xml:space="preserve">MRV Feed Data Status</t>
  </si>
  <si>
    <t xml:space="preserve">Retention Efficiencies (Boyd / Avnimelech — editable)</t>
  </si>
  <si>
    <t xml:space="preserve">Carbon Retention Efficiency in Harvested Biomass</t>
  </si>
  <si>
    <t xml:space="preserve">Typical range 18-25%</t>
  </si>
  <si>
    <t xml:space="preserve">Nitrogen Retention Efficiency in Harvested Biomass</t>
  </si>
  <si>
    <t xml:space="preserve">Typical range 20-30%</t>
  </si>
  <si>
    <t xml:space="preserve">Feed Manufacturing &amp; Mass Balance</t>
  </si>
  <si>
    <t xml:space="preserve">Feed Production Scope 3 CO2e</t>
  </si>
  <si>
    <t xml:space="preserve">Formula: Feed (kg) x EF / 1000</t>
  </si>
  <si>
    <t xml:space="preserve">Total Feed Carbon Input</t>
  </si>
  <si>
    <t xml:space="preserve">Formula: Feed (kg) x Carbon content %</t>
  </si>
  <si>
    <t xml:space="preserve">Carbon Retained in Harvested Biomass</t>
  </si>
  <si>
    <t xml:space="preserve">Carbon Lost to Pond (Sediment/Water)</t>
  </si>
  <si>
    <t xml:space="preserve">Feeds into the Pond Emission Model</t>
  </si>
  <si>
    <t xml:space="preserve">Total Feed Nitrogen Input</t>
  </si>
  <si>
    <t xml:space="preserve">kg N</t>
  </si>
  <si>
    <t xml:space="preserve">Formula: Feed (kg) x Nitrogen content %</t>
  </si>
  <si>
    <t xml:space="preserve">Nitrogen Retained in Harvested Biomass</t>
  </si>
  <si>
    <t xml:space="preserve">Nitrogen Lost to Pond (Water/Sediment)</t>
  </si>
  <si>
    <t xml:space="preserve">Pond Emission Model (Scope 1 — CH4 &amp; N2O)</t>
  </si>
  <si>
    <t xml:space="preserve">Baseline scenario. The Improved Farming Scenario sheet re-runs this logic with management-adjusted inputs.</t>
  </si>
  <si>
    <t xml:space="preserve">From Feed Emission Model</t>
  </si>
  <si>
    <t xml:space="preserve">Nitrogen Lost to Pond</t>
  </si>
  <si>
    <t xml:space="preserve">DO / Redox-Based Assumptions (baseline — editable, calibrate from field data)</t>
  </si>
  <si>
    <t xml:space="preserve">Anaerobic Fraction of Carbon Lost</t>
  </si>
  <si>
    <t xml:space="preserve">Dynamic from weekly pre-dawn DO and H₂S. No-data fallback = 20%.</t>
  </si>
  <si>
    <t xml:space="preserve">CH4 Oxidation Fraction (in water column before release)</t>
  </si>
  <si>
    <t xml:space="preserve">Fraction of produced CH4 re-oxidized to CO2 in the oxic surface layer</t>
  </si>
  <si>
    <t xml:space="preserve">N2O-N Emission Factor (% of Nitrogen Lost)</t>
  </si>
  <si>
    <t xml:space="preserve">N2O-N EF preset adjusted +20% when average cyanobacteria exceeds 50%.</t>
  </si>
  <si>
    <t xml:space="preserve">GWP - CH4 (100-yr, AR5)</t>
  </si>
  <si>
    <t xml:space="preserve">Auto-computed from the GWP Standard toggle in Advanced Options below</t>
  </si>
  <si>
    <t xml:space="preserve">GWP - N2O (100-yr, AR5)</t>
  </si>
  <si>
    <t xml:space="preserve">Optional Measured Flux Overrides (leave blank to use modelled estimate)</t>
  </si>
  <si>
    <t xml:space="preserve">Measured CH4 (kg CH4/crop)</t>
  </si>
  <si>
    <t xml:space="preserve">kg/crop</t>
  </si>
  <si>
    <t xml:space="preserve">From floating chamber measurement, if available</t>
  </si>
  <si>
    <t xml:space="preserve">Measured N2O (kg N2O/crop)</t>
  </si>
  <si>
    <t xml:space="preserve">CH4 Calculation</t>
  </si>
  <si>
    <t xml:space="preserve">CH4-C Produced</t>
  </si>
  <si>
    <t xml:space="preserve">Carbon lost, net of the Sediment Carbon Burial Fraction (Advanced Options below), x anaerobic fraction x adjustment factor</t>
  </si>
  <si>
    <t xml:space="preserve">CH4 Produced (gross, before oxidation)</t>
  </si>
  <si>
    <t xml:space="preserve">kg CH4</t>
  </si>
  <si>
    <t xml:space="preserve">Formula: CH4-C x (16/12)</t>
  </si>
  <si>
    <t xml:space="preserve">CH4 Emitted (after oxidation, modelled)</t>
  </si>
  <si>
    <t xml:space="preserve">Formula: Gross CH4 x (1 - oxidation fraction)</t>
  </si>
  <si>
    <t xml:space="preserve">CH4 Emitted (used — measured override if provided)</t>
  </si>
  <si>
    <t xml:space="preserve">CH4 CO2e</t>
  </si>
  <si>
    <t xml:space="preserve">N2O Calculation</t>
  </si>
  <si>
    <t xml:space="preserve">N2O Emission (modelled)</t>
  </si>
  <si>
    <t xml:space="preserve">kg N2O</t>
  </si>
  <si>
    <t xml:space="preserve">Formula: Nitrogen lost x N2O-N EF% x (44/28)</t>
  </si>
  <si>
    <t xml:space="preserve">N2O Emission (used — measured override if provided)</t>
  </si>
  <si>
    <t xml:space="preserve">N2O CO2e</t>
  </si>
  <si>
    <t xml:space="preserve">Lime &amp; Fertilizer Emissions (optional — set inputs to 0 if not applied)</t>
  </si>
  <si>
    <t xml:space="preserve">Agricultural Lime Applied</t>
  </si>
  <si>
    <t xml:space="preserve">Set to 0 if lime is not used</t>
  </si>
  <si>
    <t xml:space="preserve">Lime Emission Factor</t>
  </si>
  <si>
    <t xml:space="preserve">tCO2/t lime</t>
  </si>
  <si>
    <t xml:space="preserve">IPCC 2019 Refinement to the 2006 Guidelines, AFOLU Vol. 4, Ch. 11 — Tier 1 default for calcitic limestone</t>
  </si>
  <si>
    <t xml:space="preserve">Synthetic Fertilizer Nitrogen Applied</t>
  </si>
  <si>
    <t xml:space="preserve">kg N/crop</t>
  </si>
  <si>
    <t xml:space="preserve">Most pond systems rely on feed/organic nitrogen only — set to 0 if no fertilizer is applied</t>
  </si>
  <si>
    <t xml:space="preserve">Direct N2O-N Emission Factor for Fertilizer N</t>
  </si>
  <si>
    <t xml:space="preserve">IPCC Tier 1 default EF1 = 1% of applied N emitted as N2O-N</t>
  </si>
  <si>
    <t xml:space="preserve">Lime &amp; Fertilizer CO2e Calculation</t>
  </si>
  <si>
    <t xml:space="preserve">Lime CO2e</t>
  </si>
  <si>
    <t xml:space="preserve">Formula: Lime (t) x Lime EF</t>
  </si>
  <si>
    <t xml:space="preserve">Fertilizer N2O Emission</t>
  </si>
  <si>
    <t xml:space="preserve">Formula: Fertilizer N x EF1 x (44/28)</t>
  </si>
  <si>
    <t xml:space="preserve">Fertilizer N2O CO2e</t>
  </si>
  <si>
    <t xml:space="preserve">Uses the GWP-N2O constant above</t>
  </si>
  <si>
    <t xml:space="preserve">TOTAL LIME &amp; FERTILIZER CO2e</t>
  </si>
  <si>
    <t xml:space="preserve">Advanced Options (v2.3)</t>
  </si>
  <si>
    <t xml:space="preserve">Dynamic Field-Derived Inputs</t>
  </si>
  <si>
    <t xml:space="preserve">GWP Standard</t>
  </si>
  <si>
    <t xml:space="preserve">Synced from Dashboard Section A — edit the toggle there, not here</t>
  </si>
  <si>
    <t xml:space="preserve">Average Pre-Dawn DO</t>
  </si>
  <si>
    <t xml:space="preserve">mg/L</t>
  </si>
  <si>
    <t xml:space="preserve">Anaerobic Fraction Adjustment Factor</t>
  </si>
  <si>
    <t xml:space="preserve">Derived from latest soil C:N risk band: ≤20=1.00; &gt;20=1.15; &gt;30=1.25.</t>
  </si>
  <si>
    <t xml:space="preserve">Average Cyanobacteria</t>
  </si>
  <si>
    <t xml:space="preserve">N2O-N EF Preset</t>
  </si>
  <si>
    <t xml:space="preserve">Custom</t>
  </si>
  <si>
    <t xml:space="preserve">0.71% / 1.8% / Custom</t>
  </si>
  <si>
    <t xml:space="preserve">0.71% and 1.8% reflect the published low/high range of feed-N-based N2O emission factors; choose Custom to use the value below</t>
  </si>
  <si>
    <t xml:space="preserve">Custom N2O-N EF (used if preset = Custom)</t>
  </si>
  <si>
    <t xml:space="preserve">Only used when the preset above is set to Custom</t>
  </si>
  <si>
    <t xml:space="preserve">Anaerobic Fraction Status</t>
  </si>
  <si>
    <t xml:space="preserve">N2O Cyanobacteria Adjustment</t>
  </si>
  <si>
    <t xml:space="preserve">Sediment Carbon Burial &amp; Pond Idle/Drying Phase (v3.0)</t>
  </si>
  <si>
    <t xml:space="preserve">Sediment Carbon Burial / Sequestration Fraction</t>
  </si>
  <si>
    <t xml:space="preserve">Editable 10-30%. Fraction of carbon lost to the pond that is permanently buried in deep sediment rather than entering the active anaerobic decomposition pool — this is netted out of the CH4 calculation below, distinct from the informational sequestration estimate on Carbon Accounting.</t>
  </si>
  <si>
    <t xml:space="preserve">Pond Idle / Sun-Drying Period Duration</t>
  </si>
  <si>
    <t xml:space="preserve">days/crop</t>
  </si>
  <si>
    <t xml:space="preserve">Time between harvest and the next stocking when the pond bottom is exposed and oxidizing</t>
  </si>
  <si>
    <t xml:space="preserve">Idle Phase Emission Factor (combined CO2 + N2O)</t>
  </si>
  <si>
    <t xml:space="preserve">kgCO2e/ha/day</t>
  </si>
  <si>
    <t xml:space="preserve">Illustrative placeholder for pond-bottom oxidation during the dry/idle phase — needs literature/field validation; not a substitute for measured flux</t>
  </si>
  <si>
    <t xml:space="preserve">Idle Phase CO2e</t>
  </si>
  <si>
    <t xml:space="preserve">Formula: Pond area x Idle days x Idle EF / 1000</t>
  </si>
  <si>
    <t xml:space="preserve">Legacy Water Quality Lab Report Log (retained for reference)</t>
  </si>
  <si>
    <t xml:space="preserve">v3.4 calculations use the dedicated Water Quality &amp; Plankton Log sheet. This legacy block is not used for dynamic calculations.</t>
  </si>
  <si>
    <t xml:space="preserve">Report Date</t>
  </si>
  <si>
    <t xml:space="preserve">pH</t>
  </si>
  <si>
    <t xml:space="preserve">Dissolved Oxygen
(ppm)</t>
  </si>
  <si>
    <t xml:space="preserve">Total Ammonia-N
(ppm)</t>
  </si>
  <si>
    <t xml:space="preserve">H2S
(Nil / Detected)</t>
  </si>
  <si>
    <t xml:space="preserve">Salinity
(ppt)</t>
  </si>
  <si>
    <t xml:space="preserve">Lab / Notes</t>
  </si>
  <si>
    <t xml:space="preserve">For IMC, Paddlewheel and Blower rows are hard-locked to zero. Energy boundary is water pumping, generator diesel and verified grid electricity.</t>
  </si>
  <si>
    <t xml:space="preserve">Aeration Reference (from Dashboard)</t>
  </si>
  <si>
    <t xml:space="preserve">Aeration Required for Selected Species</t>
  </si>
  <si>
    <t xml:space="preserve">Mechanical Aeration Inputs</t>
  </si>
  <si>
    <t xml:space="preserve">Paddlewheel Aerator Capacity</t>
  </si>
  <si>
    <t xml:space="preserve">HP per unit</t>
  </si>
  <si>
    <t xml:space="preserve">Number of Paddlewheel Units</t>
  </si>
  <si>
    <t xml:space="preserve">units</t>
  </si>
  <si>
    <t xml:space="preserve">Set to 0 if aeration not required</t>
  </si>
  <si>
    <t xml:space="preserve">Paddlewheel Operating Hours</t>
  </si>
  <si>
    <t xml:space="preserve">hours/day</t>
  </si>
  <si>
    <t xml:space="preserve">Blower Capacity</t>
  </si>
  <si>
    <t xml:space="preserve">kW total</t>
  </si>
  <si>
    <t xml:space="preserve">Shrimp systems only; set 0 for fish ponds</t>
  </si>
  <si>
    <t xml:space="preserve">Blower Operating Hours</t>
  </si>
  <si>
    <t xml:space="preserve">Fuel &amp; Grid Electricity Inputs</t>
  </si>
  <si>
    <t xml:space="preserve">Diesel Used (pumps/water exchange)</t>
  </si>
  <si>
    <t xml:space="preserve">L/crop</t>
  </si>
  <si>
    <t xml:space="preserve">Generator Diesel (backup power)</t>
  </si>
  <si>
    <t xml:space="preserve">Grid Electricity Purchased</t>
  </si>
  <si>
    <t xml:space="preserve">kWh/crop</t>
  </si>
  <si>
    <t xml:space="preserve">Excluding paddlewheel/blower already captured above</t>
  </si>
  <si>
    <t xml:space="preserve">Solar Offset</t>
  </si>
  <si>
    <t xml:space="preserve">Solar generation reducing grid draw</t>
  </si>
  <si>
    <t xml:space="preserve">Emission Factors (editable)</t>
  </si>
  <si>
    <t xml:space="preserve">CEA Database Version</t>
  </si>
  <si>
    <t xml:space="preserve">Diesel Emission Factor</t>
  </si>
  <si>
    <t xml:space="preserve">kgCO2e/L</t>
  </si>
  <si>
    <t xml:space="preserve">20.0</t>
  </si>
  <si>
    <t xml:space="preserve">Grid Electricity Emission Factor</t>
  </si>
  <si>
    <t xml:space="preserve">kgCO2e/kWh</t>
  </si>
  <si>
    <t xml:space="preserve">CEA CO₂ Baseline Database Version 20.0 (FY2023-24 weighted-average grid EF shown as reference); verify the reporting-year CEA database before formal MRV submission.</t>
  </si>
  <si>
    <t xml:space="preserve">Reference FY</t>
  </si>
  <si>
    <t xml:space="preserve">CEA EF Provenance / Version Control</t>
  </si>
  <si>
    <t xml:space="preserve">Source: Central Electricity Authority, CO₂ Baseline Database. Reporting-year EF must be documented with the farm MRV record.</t>
  </si>
  <si>
    <t xml:space="preserve">FY2023-24</t>
  </si>
  <si>
    <t xml:space="preserve">Energy CO2e Calculation</t>
  </si>
  <si>
    <t xml:space="preserve">Paddlewheel Energy Demand</t>
  </si>
  <si>
    <t xml:space="preserve">Formula: HP x 0.746 x units x hours</t>
  </si>
  <si>
    <t xml:space="preserve">Blower Energy Demand</t>
  </si>
  <si>
    <t xml:space="preserve">Total Electricity Demand</t>
  </si>
  <si>
    <t xml:space="preserve">Formula: Paddlewheel + Blower + Grid - Solar offset</t>
  </si>
  <si>
    <t xml:space="preserve">Electricity CO2e</t>
  </si>
  <si>
    <t xml:space="preserve">Diesel CO2e</t>
  </si>
  <si>
    <t xml:space="preserve">TOTAL ENERGY CO2e</t>
  </si>
  <si>
    <t xml:space="preserve">Generator Efficiency &amp; Solar Sizing Guidance (v2.3, informational)</t>
  </si>
  <si>
    <t xml:space="preserve">Generator Fuel Efficiency</t>
  </si>
  <si>
    <t xml:space="preserve">kWh output per L diesel</t>
  </si>
  <si>
    <t xml:space="preserve">Typical diesel genset range: 3-4 kWh/L. Informational only — diesel CO2e above is already calculated directly from liters burned, not from this figure.</t>
  </si>
  <si>
    <t xml:space="preserve">Generator Electrical Output (informational)</t>
  </si>
  <si>
    <t xml:space="preserve">Formula: Generator diesel (L) x efficiency — shows what the generator is delivering, does not change CO2e</t>
  </si>
  <si>
    <t xml:space="preserve">Solar offset sizing guidance: a 1 kWp rooftop/ground-mount solar installation typically generates roughly 4-5 kWh/day in most of India (more in Andhra Pradesh/Rajasthan-type high-irradiance zones, less in the monsoon season or cloudy regions). For a 200-day crop, a 1 kWp system installed for the full cycle could offset on the order of 800-1,000 kWh — size the Solar Offset input above against your actual installed capacity and crop duration rather than guessing.</t>
  </si>
  <si>
    <t xml:space="preserve">Species Aeration Defaults (v3.0) — auto-fills the aeration inputs above when Culture Type changes</t>
  </si>
  <si>
    <t xml:space="preserve">Species Aeration Defaults (IMC rows hard-locked; other species retain reference defaults)</t>
  </si>
  <si>
    <t xml:space="preserve">Paddlewheel
Units</t>
  </si>
  <si>
    <t xml:space="preserve">Paddlewheel
Hours/day</t>
  </si>
  <si>
    <t xml:space="preserve">Blower
Capacity (kW)</t>
  </si>
  <si>
    <t xml:space="preserve">Blower
Hours/day</t>
  </si>
  <si>
    <t xml:space="preserve">Note</t>
  </si>
  <si>
    <t xml:space="preserve">No aeration required</t>
  </si>
  <si>
    <t xml:space="preserve">Paddlewheel only</t>
  </si>
  <si>
    <t xml:space="preserve">Intensive — near-continuous aeration</t>
  </si>
  <si>
    <t xml:space="preserve">Semi-intensive</t>
  </si>
  <si>
    <t xml:space="preserve">Baseline-crop cost and income. Pairs with Carbon Accounting so the farm can see cost per kg alongside CO2e per kg.</t>
  </si>
  <si>
    <t xml:space="preserve">From Harvest Schedule</t>
  </si>
  <si>
    <t xml:space="preserve">From Growth &amp; Feed Model</t>
  </si>
  <si>
    <t xml:space="preserve">From Energy Module</t>
  </si>
  <si>
    <t xml:space="preserve">Total Diesel Used</t>
  </si>
  <si>
    <t xml:space="preserve">Price &amp; Cost Inputs (editable — enter current local prices)</t>
  </si>
  <si>
    <t xml:space="preserve">Feed Price</t>
  </si>
  <si>
    <t xml:space="preserve">Rs/kg</t>
  </si>
  <si>
    <t xml:space="preserve">Blended average across feed stages used</t>
  </si>
  <si>
    <t xml:space="preserve">Electricity Tariff</t>
  </si>
  <si>
    <t xml:space="preserve">Rs/kWh</t>
  </si>
  <si>
    <t xml:space="preserve">Agricultural/commercial tariff as applicable</t>
  </si>
  <si>
    <t xml:space="preserve">Diesel Price</t>
  </si>
  <si>
    <t xml:space="preserve">Rs/L</t>
  </si>
  <si>
    <t xml:space="preserve">Labour Cost</t>
  </si>
  <si>
    <t xml:space="preserve">Rs/crop</t>
  </si>
  <si>
    <t xml:space="preserve">Wages for the crop cycle</t>
  </si>
  <si>
    <t xml:space="preserve">Probiotics &amp; Soil/Water Amendments Cost</t>
  </si>
  <si>
    <t xml:space="preserve">Seed Price</t>
  </si>
  <si>
    <t xml:space="preserve">Rs/piece (fingerling or PL)</t>
  </si>
  <si>
    <t xml:space="preserve">Other Costs (lime, lease, misc.)</t>
  </si>
  <si>
    <t xml:space="preserve">Farm-Gate Sale Price</t>
  </si>
  <si>
    <t xml:space="preserve">Cost Calculation</t>
  </si>
  <si>
    <t xml:space="preserve">Formula: Feed (kg) x Feed price</t>
  </si>
  <si>
    <t xml:space="preserve">Seed Cost</t>
  </si>
  <si>
    <t xml:space="preserve">Formula: Stocked number x Seed price</t>
  </si>
  <si>
    <t xml:space="preserve">TOTAL COST</t>
  </si>
  <si>
    <t xml:space="preserve">Formula: Feed + Electricity + Diesel + Seed + Labour + Probiotics + Other</t>
  </si>
  <si>
    <t xml:space="preserve">Income &amp; Profitability</t>
  </si>
  <si>
    <t xml:space="preserve">Gross Income</t>
  </si>
  <si>
    <t xml:space="preserve">Formula: Total production x Sale price</t>
  </si>
  <si>
    <t xml:space="preserve">NET PROFIT</t>
  </si>
  <si>
    <t xml:space="preserve">Cost per kg Production</t>
  </si>
  <si>
    <t xml:space="preserve">Profit per kg Production</t>
  </si>
  <si>
    <t xml:space="preserve">Carbon-Economics Link</t>
  </si>
  <si>
    <t xml:space="preserve">Net Profit per tCO2e Reduced (Improved vs. Baseline)</t>
  </si>
  <si>
    <t xml:space="preserve">Rs/tCO2e</t>
  </si>
  <si>
    <t xml:space="preserve">Illustrates the cost-effectiveness case for carbon finance discussions</t>
  </si>
  <si>
    <t xml:space="preserve">Annual Rollup (Multi-Crop)</t>
  </si>
  <si>
    <t xml:space="preserve">Crops per Year</t>
  </si>
  <si>
    <t xml:space="preserve">From Dashboard</t>
  </si>
  <si>
    <t xml:space="preserve">Annual Production</t>
  </si>
  <si>
    <t xml:space="preserve">kg/yr</t>
  </si>
  <si>
    <t xml:space="preserve">Annual Total Cost</t>
  </si>
  <si>
    <t xml:space="preserve">Rs/yr</t>
  </si>
  <si>
    <t xml:space="preserve">Annual Gross Income</t>
  </si>
  <si>
    <t xml:space="preserve">ANNUAL NET PROFIT</t>
  </si>
  <si>
    <t xml:space="preserve">Select (Yes/No) the management changes to be applied. Effect sizes are editable, literature-informed defaults — replace with trial data where available.</t>
  </si>
  <si>
    <t xml:space="preserve">Management Measures</t>
  </si>
  <si>
    <t xml:space="preserve">Measure</t>
  </si>
  <si>
    <t xml:space="preserve">Apply?
(Yes/No)</t>
  </si>
  <si>
    <t xml:space="preserve">FCR Improvement
Effect</t>
  </si>
  <si>
    <t xml:space="preserve">Anaerobic Fraction
Reduction Effect</t>
  </si>
  <si>
    <t xml:space="preserve">Other Effect</t>
  </si>
  <si>
    <t xml:space="preserve">Better Feed (quality/formulation)</t>
  </si>
  <si>
    <t xml:space="preserve">Also reduces feed manufacturing EF by ~5% (higher-quality ingredient sourcing)</t>
  </si>
  <si>
    <t xml:space="preserve">Water Probiotics</t>
  </si>
  <si>
    <t xml:space="preserve">Improves water-column DO stability</t>
  </si>
  <si>
    <t xml:space="preserve">Soil Probiotics</t>
  </si>
  <si>
    <t xml:space="preserve">Bioremediates benthic organic load</t>
  </si>
  <si>
    <t xml:space="preserve">Better Aeration (Not applicable to IMC)</t>
  </si>
  <si>
    <t xml:space="preserve">Disabled for IMC to avoid artificial energy/CH₄ benefit.</t>
  </si>
  <si>
    <t xml:space="preserve">Water Quality Management (DO/Secchi monitoring)</t>
  </si>
  <si>
    <t xml:space="preserve">Reduces N2O-N emission factor by ~20%</t>
  </si>
  <si>
    <t xml:space="preserve">Combined Effects (multiplicative — avoids double-counting)</t>
  </si>
  <si>
    <t xml:space="preserve">Combined FCR Improvement</t>
  </si>
  <si>
    <t xml:space="preserve">Combines all measures marked Yes (multiplicative, not additive)</t>
  </si>
  <si>
    <t xml:space="preserve">Combined Anaerobic Fraction Reduction</t>
  </si>
  <si>
    <t xml:space="preserve">Feed Manufacturing EF Reduction (if Better Feed applied)</t>
  </si>
  <si>
    <t xml:space="preserve">Combined N2O-N EF Reduction (Water Quality Management + C/N Ratio Management)</t>
  </si>
  <si>
    <t xml:space="preserve">Energy CO2e Increase (if Better Aeration applied)</t>
  </si>
  <si>
    <t xml:space="preserve">Improved Scenario — Recalculated Totals</t>
  </si>
  <si>
    <t xml:space="preserve">Improved FCR</t>
  </si>
  <si>
    <t xml:space="preserve">Baseline Growth Model already includes field-data Punch Bag/DO effects; Improved Scenario applies only incremental measures.</t>
  </si>
  <si>
    <t xml:space="preserve">Improved Total Feed Required</t>
  </si>
  <si>
    <t xml:space="preserve">Scenario estimate relative to baseline FCR; compare with Growth Model dynamic feed requirement.</t>
  </si>
  <si>
    <t xml:space="preserve">Improved Feed Manufacturing EF</t>
  </si>
  <si>
    <t xml:space="preserve">Improved Feed Production Scope 3 CO2e</t>
  </si>
  <si>
    <t xml:space="preserve">Improved Carbon Lost to Pond</t>
  </si>
  <si>
    <t xml:space="preserve">Improved Anaerobic Fraction</t>
  </si>
  <si>
    <t xml:space="preserve">Improved CH4 Emitted (after oxidation)</t>
  </si>
  <si>
    <t xml:space="preserve">Improved CH4 CO2e</t>
  </si>
  <si>
    <t xml:space="preserve">Improved Nitrogen Lost to Pond</t>
  </si>
  <si>
    <t xml:space="preserve">Improved N2O-N EF</t>
  </si>
  <si>
    <t xml:space="preserve">Improved N2O Emission</t>
  </si>
  <si>
    <t xml:space="preserve">Improved N2O CO2e</t>
  </si>
  <si>
    <t xml:space="preserve">Improved Energy CO2e</t>
  </si>
  <si>
    <t xml:space="preserve">Additional Measures (v2.3)</t>
  </si>
  <si>
    <t xml:space="preserve">N2O-N EF
Reduction Effect</t>
  </si>
  <si>
    <t xml:space="preserve">Optimized Feeding Timing (match feeding to DO/metabolic peaks)</t>
  </si>
  <si>
    <t xml:space="preserve">Small feed-efficiency gain from feeding when dissolved oxygen and metabolic rate are highest</t>
  </si>
  <si>
    <t xml:space="preserve">C/N Ratio Management (carbon source dosing, e.g. molasses/tapioca)</t>
  </si>
  <si>
    <t xml:space="preserve">Biofloc-style heterotrophic bacterial nitrogen immobilization reduces both anaerobic sediment loading and the nitrification-denitrification N2O pathway</t>
  </si>
  <si>
    <t xml:space="preserve">Apply 12.5% FCR improvement only when not already enabled in Dashboard/Growth Model; 10% wastage reduction is informational.</t>
  </si>
  <si>
    <t xml:space="preserve">Carbon Accounting — Baseline vs. Improved</t>
  </si>
  <si>
    <t xml:space="preserve">Component</t>
  </si>
  <si>
    <t xml:space="preserve">Baseline</t>
  </si>
  <si>
    <t xml:space="preserve">Improved</t>
  </si>
  <si>
    <t xml:space="preserve">Unit</t>
  </si>
  <si>
    <t xml:space="preserve">Source</t>
  </si>
  <si>
    <t xml:space="preserve">Feed Production CO2e</t>
  </si>
  <si>
    <t xml:space="preserve">Feed Emission Model / Improved Scenario</t>
  </si>
  <si>
    <t xml:space="preserve">Energy Module (assumed unchanged unless aeration measure adjusts pumping)</t>
  </si>
  <si>
    <t xml:space="preserve">Pond Emission Model / Improved Scenario</t>
  </si>
  <si>
    <t xml:space="preserve">GROSS EMISSION</t>
  </si>
  <si>
    <t xml:space="preserve">Carbon Stored in Harvested Biomass (netted out of pond-boundary footprint)</t>
  </si>
  <si>
    <t xml:space="preserve">Carbon Content of Harvested Biomass (wet weight)</t>
  </si>
  <si>
    <t xml:space="preserve">Typical range 6-10% wet weight for finfish/shrimp tissue</t>
  </si>
  <si>
    <t xml:space="preserve">Total Production (Baseline, from Harvest Schedule)</t>
  </si>
  <si>
    <t xml:space="preserve">Carbon Stored in Biomass (CO2e)</t>
  </si>
  <si>
    <t xml:space="preserve">Formula: Production x C content x (44/12) / 1000 — carbon leaving the pond boundary in product, not a permanent sequestration claim</t>
  </si>
  <si>
    <t xml:space="preserve">Net Emission &amp; Intensity</t>
  </si>
  <si>
    <t xml:space="preserve">Net Emission — Baseline</t>
  </si>
  <si>
    <t xml:space="preserve">Net Emission — Improved</t>
  </si>
  <si>
    <t xml:space="preserve">Assumes same production — refine if improved FCR also changes yield</t>
  </si>
  <si>
    <t xml:space="preserve">Emission Intensity — Baseline</t>
  </si>
  <si>
    <t xml:space="preserve">Emission Intensity — Improved</t>
  </si>
  <si>
    <t xml:space="preserve">Lime, Fertilizer &amp; Idle-Phase CO2e (included in Gross Emission above)</t>
  </si>
  <si>
    <t xml:space="preserve">Assumed equal in Baseline and Improved scenarios unless lime/fertilizer use is deliberately changed</t>
  </si>
  <si>
    <t xml:space="preserve">Optional: Sediment Organic Carbon Accumulation (NOT included in Net Emission above)</t>
  </si>
  <si>
    <t xml:space="preserve">CAVEAT: SOC is measured from pre/post soil tests and converted with bulk density and sampling depth. Positive SOC change is potential storage; negative change indicates depletion. Permanence, leakage, sampling uncertainty and project methodology must be resolved before crediting.</t>
  </si>
  <si>
    <t xml:space="preserve">Measured Sediment Organic Carbon Accumulation Rate (derived)</t>
  </si>
  <si>
    <t xml:space="preserve">t C/ha/yr</t>
  </si>
  <si>
    <t xml:space="preserve">Derived from repeat SOC measurements, bulk density, sampling depth and pond area; signed value retained.</t>
  </si>
  <si>
    <t xml:space="preserve">Measured Sediment Carbon Sequestration (informational only)</t>
  </si>
  <si>
    <t xml:space="preserve">Potential SOC accumulation only; not netted into Net Emission or Carbon Reduction Summary.</t>
  </si>
  <si>
    <t xml:space="preserve">Edible-Yield Emission Intensity</t>
  </si>
  <si>
    <t xml:space="preserve">Edible Yield Fraction</t>
  </si>
  <si>
    <t xml:space="preserve">Share of live/whole production that is edible product after dressing/processing losses — adjust per species and market form</t>
  </si>
  <si>
    <t xml:space="preserve">Edible Production</t>
  </si>
  <si>
    <t xml:space="preserve">Formula: Total production x Edible yield fraction</t>
  </si>
  <si>
    <t xml:space="preserve">Emission Intensity per kg Edible Yield — Baseline</t>
  </si>
  <si>
    <t xml:space="preserve">kgCO2e/kg edible</t>
  </si>
  <si>
    <t xml:space="preserve">Emission Intensity per kg Edible Yield — Improved</t>
  </si>
  <si>
    <t xml:space="preserve">Soil Test Log (v3.2) — matches routine IMC pond soil testing</t>
  </si>
  <si>
    <t xml:space="preserve">Confirmed field-testable parameters for IMC ponds: Soil Organic Carbon (SOC), Total Nitrogen, C:N ratio, CEC and Potassium are tested routinely; micronutrients (Fe, B, Zn, Mg) occasionally. Log results here each testing round — SOC% and C:N feed the sequestration estimate above and the nitrogen mass balance context; CEC/K/micronutrients are for pond fertility record-keeping.</t>
  </si>
  <si>
    <t xml:space="preserve">Test Date</t>
  </si>
  <si>
    <t xml:space="preserve">Soil Organic
Carbon (%)</t>
  </si>
  <si>
    <t xml:space="preserve">Total N
(%)</t>
  </si>
  <si>
    <t xml:space="preserve">C:N Ratio</t>
  </si>
  <si>
    <t xml:space="preserve">CEC
(meq/100g)</t>
  </si>
  <si>
    <t xml:space="preserve">Potassium (K)
(kg/ha)</t>
  </si>
  <si>
    <t xml:space="preserve">Sampling Phase</t>
  </si>
  <si>
    <t xml:space="preserve">Sample ID</t>
  </si>
  <si>
    <t xml:space="preserve">Bulk Density
(g/cm³)</t>
  </si>
  <si>
    <t xml:space="preserve">Sampling Depth
(m)</t>
  </si>
  <si>
    <t xml:space="preserve">Current Soil C:N (Pond Model link)</t>
  </si>
  <si>
    <t xml:space="preserve">Measured Soil Carbon &amp; Methanogenesis Risk</t>
  </si>
  <si>
    <t xml:space="preserve">Pre-Stocking SOC %</t>
  </si>
  <si>
    <t xml:space="preserve">Post-Harvest SOC %</t>
  </si>
  <si>
    <t xml:space="preserve">Bulk Density</t>
  </si>
  <si>
    <t xml:space="preserve">g/cm³</t>
  </si>
  <si>
    <t xml:space="preserve">Sampling Depth</t>
  </si>
  <si>
    <t xml:space="preserve">Actual SOC Change</t>
  </si>
  <si>
    <t xml:space="preserve">t C</t>
  </si>
  <si>
    <t xml:space="preserve">Annualized SOC Change</t>
  </si>
  <si>
    <t xml:space="preserve">t C/yr</t>
  </si>
  <si>
    <t xml:space="preserve">SOC CO2e Equivalent (informational)</t>
  </si>
  <si>
    <t xml:space="preserve">Current Soil C:N</t>
  </si>
  <si>
    <t xml:space="preserve">Methanogenesis Risk</t>
  </si>
  <si>
    <t xml:space="preserve">Carbon Reduction Summary</t>
  </si>
  <si>
    <t xml:space="preserve">Traditional vs. Improved Farm</t>
  </si>
  <si>
    <t xml:space="preserve">Traditional Farm Net Emission</t>
  </si>
  <si>
    <t xml:space="preserve">Improved Farm Net Emission</t>
  </si>
  <si>
    <t xml:space="preserve">Reduction &amp; Carbon Credit Potential</t>
  </si>
  <si>
    <t xml:space="preserve">CO2e Reduction per Crop</t>
  </si>
  <si>
    <t xml:space="preserve">% Reduction vs. Traditional</t>
  </si>
  <si>
    <t xml:space="preserve">Potential Carbon Credit Equivalent per Year</t>
  </si>
  <si>
    <t xml:space="preserve">Potential Carbon Credit Equivalent per Hectare per Year</t>
  </si>
  <si>
    <t xml:space="preserve">tCO2e/ha/yr</t>
  </si>
  <si>
    <t xml:space="preserve">Screening-level estimate. Not a certified carbon credit figure — see Concept Note for MRV and methodology-pathway requirements before using this number in a funding submission or credit claim.</t>
  </si>
  <si>
    <t xml:space="preserve">First-order approximate sensitivity — each block varies ONE driver at a time (FCR, Survival, Energy use, Anaerobic Fraction) around the baseline while holding everything else fixed, using the proportional relationships already in the model. This is a screening tool to show direction and rough magnitude, NOT a full re-simulation of the Growth Model, NOT a joint/combined-driver analysis, and NOT a substitute for measured field data. Real farm outcomes will differ, especially where drivers interact (e.g., FCR and survival both changing together). Treat results directionally and revisit with site-specific data before using in any external submission.</t>
  </si>
  <si>
    <t xml:space="preserve">A. FCR Sensitivity (feed-driven emissions and cost scale with FCR)</t>
  </si>
  <si>
    <t xml:space="preserve">Scenario</t>
  </si>
  <si>
    <t xml:space="preserve">% Change</t>
  </si>
  <si>
    <t xml:space="preserve">Driver Value</t>
  </si>
  <si>
    <t xml:space="preserve">Feed / Production
(kg)</t>
  </si>
  <si>
    <t xml:space="preserve">Net Emission
(tCO2e)</t>
  </si>
  <si>
    <t xml:space="preserve">Emission Intensity
(kgCO2e/kg)</t>
  </si>
  <si>
    <t xml:space="preserve">Net Profit
(Rs)</t>
  </si>
  <si>
    <t xml:space="preserve">Δ Net Profit
vs. Base (Rs)</t>
  </si>
  <si>
    <t xml:space="preserve">-20%</t>
  </si>
  <si>
    <t xml:space="preserve">-10%</t>
  </si>
  <si>
    <t xml:space="preserve">Base</t>
  </si>
  <si>
    <t xml:space="preserve">+10%</t>
  </si>
  <si>
    <t xml:space="preserve">+20%</t>
  </si>
  <si>
    <t xml:space="preserve">B. Survival Sensitivity (production and feed scale with survival)</t>
  </si>
  <si>
    <t xml:space="preserve">C. Energy Use Sensitivity (electricity + diesel demand scale; production/feed unchanged)</t>
  </si>
  <si>
    <t xml:space="preserve">D. Anaerobic Fraction Sensitivity (pond DO/redox management driver; production and feed unchanged)</t>
  </si>
  <si>
    <t xml:space="preserve">Note: Anaerobic Fraction has no direct cost linkage in this model (it affects CH4 emissions only, not feed or energy spend), so Net Profit is shown flat across this block — the value of managing it shows up entirely in the emissions columns, not the profit column.</t>
  </si>
  <si>
    <t xml:space="preserve">Printable Farm GHG &amp; Carbon Reduction Report</t>
  </si>
  <si>
    <t xml:space="preserve">Auto-generated from Dashboard, Carbon Accounting and Carbon Reduction Summary. Print this sheet for a one-page farm summary.</t>
  </si>
  <si>
    <t xml:space="preserve">Farm Summary</t>
  </si>
  <si>
    <t xml:space="preserve">Production &amp; Feed Summary</t>
  </si>
  <si>
    <t xml:space="preserve">GHG Inventory (Baseline)</t>
  </si>
  <si>
    <t xml:space="preserve">Gross Emission</t>
  </si>
  <si>
    <t xml:space="preserve">Carbon Stored in Biomass</t>
  </si>
  <si>
    <t xml:space="preserve">Emission Intensity</t>
  </si>
  <si>
    <t xml:space="preserve">Carbon Reduction Potential</t>
  </si>
  <si>
    <t xml:space="preserve">Potential Carbon Credit Equivalent</t>
  </si>
  <si>
    <t xml:space="preserve">Recommendations</t>
  </si>
  <si>
    <t xml:space="preserve">• Validate species and feed defaults against actual farm records before external submission.</t>
  </si>
  <si>
    <t xml:space="preserve">• Collect one full monitored crop cycle of DO, redox and sediment organic carbon data (see accompanying Data Collection Checklist).</t>
  </si>
  <si>
    <t xml:space="preserve">• Where feasible, obtain floating-chamber CH4/N2O flux measurements and enter them as overrides in the Pond Emission Model.</t>
  </si>
  <si>
    <t xml:space="preserve">• Treat the Carbon Reduction figure as a screening estimate until validated under a recognized MRV/methodology pathway.</t>
  </si>
  <si>
    <t xml:space="preserve">Scientific Database &amp; References</t>
  </si>
  <si>
    <t xml:space="preserve">Every default value used in this workbook, with its citation. Where a range is cited, the workbook uses the midpoint or a conservative value — always check the current edition/version before a formal submission.</t>
  </si>
  <si>
    <t xml:space="preserve">Parameter / Default</t>
  </si>
  <si>
    <t xml:space="preserve">Value Used</t>
  </si>
  <si>
    <t xml:space="preserve">Citation</t>
  </si>
  <si>
    <t xml:space="preserve">Notes</t>
  </si>
  <si>
    <t xml:space="preserve">GWP - CH4 (100-yr)</t>
  </si>
  <si>
    <t xml:space="preserve">28</t>
  </si>
  <si>
    <t xml:space="preserve">IPCC Fifth Assessment Report (AR5), WG1, Ch. 8, 2013</t>
  </si>
  <si>
    <t xml:space="preserve">AR6 (2021) alternative: 27 (non-fossil) to 29.8 (fossil) — update if the target scheme requires AR6.</t>
  </si>
  <si>
    <t xml:space="preserve">GWP - N2O (100-yr)</t>
  </si>
  <si>
    <t xml:space="preserve">265</t>
  </si>
  <si>
    <t xml:space="preserve">AR6 (2021) alternative: 273.</t>
  </si>
  <si>
    <t xml:space="preserve">Nitrogen retention in harvested biomass</t>
  </si>
  <si>
    <t xml:space="preserve">25%</t>
  </si>
  <si>
    <t xml:space="preserve">Avnimelech &amp; Lacher (1979); Avnimelech (1998); reviewed in Avnimelech, Y. (2009), ‘Biofloc Technology – A Practical Guide Book’, World Aquaculture Society</t>
  </si>
  <si>
    <t xml:space="preserve">Published pond nitrogen budgets report 11-27% N recovery in harvest for intensive ponds and 5-25% for semi-intensive/traditional carp systems — 25% is a mid-range default for polyculture; recalibrate per system.</t>
  </si>
  <si>
    <t xml:space="preserve">Carbon retention in harvested biomass</t>
  </si>
  <si>
    <t xml:space="preserve">22%</t>
  </si>
  <si>
    <t xml:space="preserve">Avnimelech &amp; Lacher (1979); Boyd, C.E. (1995), ‘Bottom Soils, Sediment, and Pond Aquaculture’, Chapman &amp; Hall</t>
  </si>
  <si>
    <t xml:space="preserve">Reported organic carbon recovery in harvest ranges roughly 20-65% depending on system intensity; 22% reflects a semi-intensive/extensive carp-type system — recalibrate per system.</t>
  </si>
  <si>
    <t xml:space="preserve">N2O-N emission factor</t>
  </si>
  <si>
    <t xml:space="preserve">0.8% of nitrogen lost to pond</t>
  </si>
  <si>
    <t xml:space="preserve">Field/meta-analysis studies of aquaculture pond N2O flux (e.g., Hu et al.; Yang et al., published aquaculture N2O flux literature)</t>
  </si>
  <si>
    <t xml:space="preserve">Reported range is approximately 0.36-0.77% of total feed nitrogen input; applied here to the nitrogen-lost (post-retention) pool for internal consistency with the carbon mass balance — site verification recommended.</t>
  </si>
  <si>
    <t xml:space="preserve">CH4 oxidation fraction</t>
  </si>
  <si>
    <t xml:space="preserve">Wetland/pond methane oxidation literature (general finding that a meaningful share of benthic CH4 is re-oxidized to CO2 in the oxic water column before reaching the atmosphere)</t>
  </si>
  <si>
    <t xml:space="preserve">Site-specific; refine with paired sediment-flux and surface-flux chamber measurements rather than relying on the default.</t>
  </si>
  <si>
    <t xml:space="preserve">Baseline anaerobic fraction of carbon lost to pond</t>
  </si>
  <si>
    <t xml:space="preserve">20%</t>
  </si>
  <si>
    <t xml:space="preserve">Boyd, C.E. (1995), ‘Bottom Soils, Sediment, and Pond Aquaculture’; Boyd, C.E. &amp; Tucker, C.S. (1998), ‘Pond Aquaculture Water Quality Management’, Kluwer</t>
  </si>
  <si>
    <t xml:space="preserve">Represents a pond with dawn DO consistently below 3 mg/L or sediment redox below -100 mV — calibrate from field DO/redox logging, not from this default alone.</t>
  </si>
  <si>
    <t xml:space="preserve">Carbon content of harvested biomass</t>
  </si>
  <si>
    <t xml:space="preserve">8% wet weight</t>
  </si>
  <si>
    <t xml:space="preserve">General fish/shrimp tissue proximate composition literature (typical 6-10% wet-weight carbon)</t>
  </si>
  <si>
    <t xml:space="preserve">Varies by species and fat content; refine with species-specific proximate analysis if available.</t>
  </si>
  <si>
    <t xml:space="preserve">Grid electricity emission factor</t>
  </si>
  <si>
    <t xml:space="preserve">0.710 kgCO2e/kWh</t>
  </si>
  <si>
    <t xml:space="preserve">Central Electricity Authority (CEA), Government of India, CO2 Baseline Database for the Indian Power Sector, Version 21.0 (Nov 2025), FY2024-25 weighted average</t>
  </si>
  <si>
    <t xml:space="preserve">CEA updates this annually (Version 20.0 gave 0.727 kgCO2e/kWh for FY2023-24) — always use the version matching your reporting year, per CEA/BEE/CCTS guidance.</t>
  </si>
  <si>
    <t xml:space="preserve">Diesel emission factor</t>
  </si>
  <si>
    <t xml:space="preserve">3.0 kgCO2e/L</t>
  </si>
  <si>
    <t xml:space="preserve">Standard Scope 1 mobile/stationary diesel combustion factor (consistent with IPCC default diesel calorific value x emission factor conversions)</t>
  </si>
  <si>
    <t xml:space="preserve">Cross-check against the latest India-specific or IPCC Emission Factor Database value if precision matters.</t>
  </si>
  <si>
    <t xml:space="preserve">Feed manufacturing emission factors</t>
  </si>
  <si>
    <t xml:space="preserve">0.4-3.0 kgCO2e/kg depending on ingredient/species</t>
  </si>
  <si>
    <t xml:space="preserve">Aquaculture feed LCA literature (e.g., published feed carbon footprint studies for plant-based agri-byproducts vs. marine-ingredient-inclusive shrimp feeds)</t>
  </si>
  <si>
    <t xml:space="preserve">Plant-based agri-byproducts (DOB, GNC) sit at the low end; marine-ingredient-inclusive shrimp feeds at the high end. Confirm against actual feed mill/supplier Environmental Product Declarations where possible.</t>
  </si>
  <si>
    <t xml:space="preserve">Improvement measure effect sizes (FCR, anaerobic fraction, N2O EF)</t>
  </si>
  <si>
    <t xml:space="preserve">2-40% depending on measure</t>
  </si>
  <si>
    <t xml:space="preserve">Aggregated indicative values from published probiotic, aeration and water-quality management trial literature (aquaculture-specific)</t>
  </si>
  <si>
    <t xml:space="preserve">Combined multiplicatively (not additively) in the Improved Farming Scenario sheet to avoid double-counting. Replace with on-farm trial results as they become available.</t>
  </si>
  <si>
    <t xml:space="preserve">IMC species/growth parameters (v2.1)</t>
  </si>
  <si>
    <t xml:space="preserve">6,250/ha; 150 g stocking; 1/1.5 kg partial/final harvest; FCR 3.0/2.5</t>
  </si>
  <si>
    <t xml:space="preserve">Farm-reported practice (Andhra Pradesh polyculture) — supplied by the tool's primary user/reviewer</t>
  </si>
  <si>
    <t xml:space="preserve">Culture duration (240 days) is an editable estimate pending confirmation of actual days-to-harvest for this stocking weight.</t>
  </si>
  <si>
    <t xml:space="preserve">Pangasius, Red Pacu, P. vannamei, P. monodon species/growth parameters</t>
  </si>
  <si>
    <t xml:space="preserve">See Species Database sheet</t>
  </si>
  <si>
    <t xml:space="preserve">Illustrative defaults reflecting common Indian aquaculture practice — not yet validated against farm records</t>
  </si>
  <si>
    <t xml:space="preserve">Must be replaced with actual farm records before use in any funding or credit submission. Priority item for the next revision.</t>
  </si>
  <si>
    <t xml:space="preserve">General GHG accounting framework</t>
  </si>
  <si>
    <t xml:space="preserve">Feed-input-driven carbon/nitrogen mass balance</t>
  </si>
  <si>
    <t xml:space="preserve">FAO Fisheries and Aquaculture Technical Papers on environmental performance of aquaculture; IPCC Guidelines for National GHG Inventories (AFOLU sector, adapted)</t>
  </si>
  <si>
    <t xml:space="preserve">No IPCC/FAO methodology is aquaculture-pond-specific yet — this workbook adapts general wetland/agricultural GHG accounting logic to a pond mass-balance structure.</t>
  </si>
  <si>
    <t xml:space="preserve">De-oiled rice bran composition (Protein 16.9%, Fat 1.5%, Fibre 9.6%)</t>
  </si>
  <si>
    <t xml:space="preserve">16.9% / 1.5% / 9.6%</t>
  </si>
  <si>
    <t xml:space="preserve">NIR spectroscopy + compositional analysis of rice bran and de-oiled rice bran (published composition study, two-batch mean ± SD)</t>
  </si>
  <si>
    <t xml:space="preserve">Replaces the earlier generic default (16% / 2% / 12%) in the Feed Database with lab-measured values. Carbon % (38%, used in the model) is a component-based estimate bracketed 28-41% depending on ash share of the unclassified ‘Other’ fraction — not itself lab-measured.</t>
  </si>
  <si>
    <t xml:space="preserve">Empirical IMC feeding-rate table and implied FCR cross-check</t>
  </si>
  <si>
    <t xml:space="preserve">Combo (sinking+DOB) ~2.3; Floating feed only ~1.3</t>
  </si>
  <si>
    <t xml:space="preserve">Field Survey (2010), published IMC feeding-rate-by-body-weight table (kg body weight vs. %BW/day feeding rate, sinking pellet+DOB vs. floating feed)</t>
  </si>
  <si>
    <t xml:space="preserve">Informational cross-check only, in Growth &amp; Feed Model. Notably lower than the farm-reported 3.0 average FCR used elsewhere in this workbook — the gap likely reflects real-world feed wastage and water-quality losses not captured in an idealized survey table; farm-reported FCR remains the primary driver.</t>
  </si>
  <si>
    <t xml:space="preserve">Pond soil test parameters (SOC, Total N, C:N, CEC, K; occasional Fe/B/Zn/Mg)</t>
  </si>
  <si>
    <t xml:space="preserve">See Soil Test Log, Carbon Accounting sheet</t>
  </si>
  <si>
    <t xml:space="preserve">Confirmed routine regional soil-testing practice for IMC ponds (farmer-supplied field information)</t>
  </si>
  <si>
    <t xml:space="preserve">Confirms SOC%, Total N% and C:N ratio ARE realistically obtainable via routine lab testing, unlike sediment redox potential. Should be used to replace the illustrative Sediment Carbon Accumulation Rate default with repeat site-specific readings over time.</t>
  </si>
  <si>
    <t xml:space="preserve">v3.4 Dynamic MRV methodology additions</t>
  </si>
  <si>
    <t xml:space="preserve">SPF, PQI, dynamic anaerobic fraction, cyanobacteria N2O adjustment, actual feed formulation, SOC mass balance, DO stress and Punch Bag factors</t>
  </si>
  <si>
    <t xml:space="preserve">Workbook engineering layer based on FAO-56 solar geometry, pond mass-balance logic and field-MRV constraints</t>
  </si>
  <si>
    <t xml:space="preserve">Adjustment coefficients are model assumptions unless replaced with farm trial/lab/flux data. Do not present them as independently validated carbon-credit emission factors.</t>
  </si>
  <si>
    <t xml:space="preserve">CEA grid EF provenance</t>
  </si>
  <si>
    <t xml:space="preserve">0.710 kgCO2e/kWh reference</t>
  </si>
  <si>
    <t xml:space="preserve">Central Electricity Authority, CO₂ Baseline Database, Version 20.0 (FY2023-24 reference)</t>
  </si>
  <si>
    <t xml:space="preserve">Verify reporting-year CEA version before formal MRV submission.</t>
  </si>
  <si>
    <t xml:space="preserve">Water Quality &amp; Plankton Log — Weekly IMC MRV</t>
  </si>
  <si>
    <t xml:space="preserve">Enter one row per weekly observation. Yellow cells are field/lab inputs. The Pond Emission Model and Growth Model read this table automatically.</t>
  </si>
  <si>
    <t xml:space="preserve">Date</t>
  </si>
  <si>
    <t xml:space="preserve">Pre-Dawn DO (mg/L)</t>
  </si>
  <si>
    <t xml:space="preserve">TAN (mg/L)</t>
  </si>
  <si>
    <t xml:space="preserve">H₂S</t>
  </si>
  <si>
    <t xml:space="preserve">Secchi Depth (cm)</t>
  </si>
  <si>
    <t xml:space="preserve">Diatoms %</t>
  </si>
  <si>
    <t xml:space="preserve">Green Algae %</t>
  </si>
  <si>
    <t xml:space="preserve">Cyanobacteria %</t>
  </si>
  <si>
    <t xml:space="preserve">Zooplankton Score</t>
  </si>
  <si>
    <t xml:space="preserve">Data Source</t>
  </si>
  <si>
    <t xml:space="preserve">Evidence / Notes</t>
  </si>
  <si>
    <t xml:space="preserve">IMC MRV Calculation Engine</t>
  </si>
  <si>
    <t xml:space="preserve">SPF calculation uses FAO-56 style extraterrestrial radiation/daylight approximations; SPF is a natural-food availability proxy, not direct photosynthesis measurement.</t>
  </si>
  <si>
    <t xml:space="preserve">Day of Year</t>
  </si>
  <si>
    <t xml:space="preserve">Declination</t>
  </si>
  <si>
    <t xml:space="preserve">Sunset Hour Angle</t>
  </si>
  <si>
    <t xml:space="preserve">Ra (MJ/m²/day)</t>
  </si>
  <si>
    <t xml:space="preserve">Daylight Hours</t>
  </si>
  <si>
    <t xml:space="preserve">DOY</t>
  </si>
  <si>
    <t xml:space="preserve">Ra</t>
  </si>
</sst>
</file>

<file path=xl/styles.xml><?xml version="1.0" encoding="utf-8"?>
<styleSheet xmlns="http://schemas.openxmlformats.org/spreadsheetml/2006/main">
  <numFmts count="15">
    <numFmt numFmtId="164" formatCode="General"/>
    <numFmt numFmtId="165" formatCode="0"/>
    <numFmt numFmtId="166" formatCode="0.000"/>
    <numFmt numFmtId="167" formatCode="0.00"/>
    <numFmt numFmtId="168" formatCode="0%"/>
    <numFmt numFmtId="169" formatCode="0.00%"/>
    <numFmt numFmtId="170" formatCode="#,##0.0"/>
    <numFmt numFmtId="171" formatCode="#,##0"/>
    <numFmt numFmtId="172" formatCode="#,##0.00"/>
    <numFmt numFmtId="173" formatCode="dd\-mmm\-yyyy"/>
    <numFmt numFmtId="174" formatCode="0.0%"/>
    <numFmt numFmtId="175" formatCode="0.0000"/>
    <numFmt numFmtId="176" formatCode="0.0"/>
    <numFmt numFmtId="177" formatCode="#,##0_);[RED]\(#,##0\)"/>
    <numFmt numFmtId="178" formatCode="@"/>
  </numFmts>
  <fonts count="25">
    <font>
      <sz val="11"/>
      <color theme="1"/>
      <name val="Calibri"/>
      <family val="2"/>
      <charset val="1"/>
    </font>
    <font>
      <sz val="10"/>
      <name val="Arial"/>
      <family val="0"/>
    </font>
    <font>
      <sz val="10"/>
      <name val="Arial"/>
      <family val="0"/>
    </font>
    <font>
      <sz val="10"/>
      <name val="Arial"/>
      <family val="0"/>
    </font>
    <font>
      <b val="true"/>
      <sz val="18"/>
      <color rgb="FF0B3D5C"/>
      <name val="Arial"/>
      <family val="0"/>
      <charset val="1"/>
    </font>
    <font>
      <i val="true"/>
      <sz val="12"/>
      <color rgb="FF0E7C7B"/>
      <name val="Arial"/>
      <family val="0"/>
      <charset val="1"/>
    </font>
    <font>
      <b val="true"/>
      <sz val="12"/>
      <color rgb="FF0B3D5C"/>
      <name val="Arial"/>
      <family val="0"/>
      <charset val="1"/>
    </font>
    <font>
      <sz val="10"/>
      <color rgb="FF222222"/>
      <name val="Arial"/>
      <family val="0"/>
      <charset val="1"/>
    </font>
    <font>
      <b val="true"/>
      <sz val="10"/>
      <color rgb="FF0B3D5C"/>
      <name val="Arial"/>
      <family val="0"/>
      <charset val="1"/>
    </font>
    <font>
      <b val="true"/>
      <sz val="16"/>
      <color rgb="FF0B3D5C"/>
      <name val="Arial"/>
      <family val="0"/>
      <charset val="1"/>
    </font>
    <font>
      <b val="true"/>
      <sz val="10"/>
      <color rgb="FFFFFFFF"/>
      <name val="Arial"/>
      <family val="0"/>
      <charset val="1"/>
    </font>
    <font>
      <b val="true"/>
      <sz val="10"/>
      <color rgb="FF000000"/>
      <name val="Arial"/>
      <family val="0"/>
      <charset val="1"/>
    </font>
    <font>
      <sz val="10"/>
      <name val="Arial"/>
      <family val="0"/>
      <charset val="1"/>
    </font>
    <font>
      <i val="true"/>
      <sz val="8.5"/>
      <color rgb="FF666666"/>
      <name val="Arial"/>
      <family val="0"/>
      <charset val="1"/>
    </font>
    <font>
      <b val="true"/>
      <sz val="10"/>
      <name val="Arial"/>
      <family val="0"/>
      <charset val="1"/>
    </font>
    <font>
      <i val="true"/>
      <sz val="9"/>
      <color rgb="FF9B2226"/>
      <name val="Arial"/>
      <family val="0"/>
      <charset val="1"/>
    </font>
    <font>
      <b val="true"/>
      <sz val="11"/>
      <color rgb="FFFFFFFF"/>
      <name val="Arial"/>
      <family val="0"/>
      <charset val="1"/>
    </font>
    <font>
      <b val="true"/>
      <sz val="10"/>
      <color rgb="FF0000FF"/>
      <name val="Arial"/>
      <family val="0"/>
      <charset val="1"/>
    </font>
    <font>
      <b val="true"/>
      <sz val="11"/>
      <name val="Calibri"/>
      <family val="0"/>
      <charset val="1"/>
    </font>
    <font>
      <sz val="10"/>
      <color rgb="FF000000"/>
      <name val="Arial"/>
      <family val="0"/>
      <charset val="1"/>
    </font>
    <font>
      <b val="true"/>
      <sz val="11"/>
      <color rgb="FFFFFFFF"/>
      <name val="Calibri"/>
      <family val="0"/>
      <charset val="1"/>
    </font>
    <font>
      <sz val="10"/>
      <name val="Arial"/>
      <family val="2"/>
    </font>
    <font>
      <b val="true"/>
      <sz val="14"/>
      <color rgb="FF0B3D5C"/>
      <name val="Arial"/>
      <family val="0"/>
      <charset val="1"/>
    </font>
    <font>
      <b val="true"/>
      <sz val="11"/>
      <color rgb="FF0B3D5C"/>
      <name val="Arial"/>
      <family val="0"/>
      <charset val="1"/>
    </font>
    <font>
      <i val="true"/>
      <sz val="9"/>
      <color rgb="FF0B3D5C"/>
      <name val="Arial"/>
      <family val="0"/>
      <charset val="1"/>
    </font>
  </fonts>
  <fills count="8">
    <fill>
      <patternFill patternType="none"/>
    </fill>
    <fill>
      <patternFill patternType="gray125"/>
    </fill>
    <fill>
      <patternFill patternType="solid">
        <fgColor rgb="FF0B3D5C"/>
        <bgColor rgb="FF333399"/>
      </patternFill>
    </fill>
    <fill>
      <patternFill patternType="solid">
        <fgColor rgb="FFF8CBCB"/>
        <bgColor rgb="FFF4CCCC"/>
      </patternFill>
    </fill>
    <fill>
      <patternFill patternType="solid">
        <fgColor rgb="FFFFF2CC"/>
        <bgColor rgb="FFFCE4D6"/>
      </patternFill>
    </fill>
    <fill>
      <patternFill patternType="solid">
        <fgColor rgb="FFDCEFEF"/>
        <bgColor rgb="FFE2F0D9"/>
      </patternFill>
    </fill>
    <fill>
      <patternFill patternType="solid">
        <fgColor rgb="FFE2F0D9"/>
        <bgColor rgb="FFDCEFEF"/>
      </patternFill>
    </fill>
    <fill>
      <patternFill patternType="solid">
        <fgColor rgb="FF0E7C7B"/>
        <bgColor rgb="FF00808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7" fillId="4" borderId="1" xfId="0" applyFont="true" applyBorder="true" applyAlignment="true" applyProtection="true">
      <alignment horizontal="center" vertical="center" textRotation="0" wrapText="false" indent="0" shrinkToFit="false"/>
      <protection locked="false" hidden="false"/>
    </xf>
    <xf numFmtId="165" fontId="11" fillId="0"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true" applyProtection="false">
      <alignment horizontal="center" vertical="center" textRotation="0" wrapText="true" indent="0" shrinkToFit="false"/>
      <protection locked="true" hidden="false"/>
    </xf>
    <xf numFmtId="169" fontId="11" fillId="0" borderId="1" xfId="0" applyFont="true" applyBorder="true" applyAlignment="true" applyProtection="false">
      <alignment horizontal="center" vertical="center" textRotation="0" wrapText="true" indent="0" shrinkToFit="false"/>
      <protection locked="true" hidden="false"/>
    </xf>
    <xf numFmtId="170" fontId="18" fillId="4" borderId="2" xfId="0" applyFont="true" applyBorder="true" applyAlignment="true" applyProtection="false">
      <alignment horizontal="center" vertical="center" textRotation="0" wrapText="true" indent="0" shrinkToFit="false"/>
      <protection locked="true" hidden="false"/>
    </xf>
    <xf numFmtId="167" fontId="19"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71" fontId="11" fillId="5" borderId="1" xfId="0" applyFont="true" applyBorder="tru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72" fontId="11" fillId="5" borderId="1" xfId="0" applyFont="true" applyBorder="true" applyAlignment="true" applyProtection="false">
      <alignment horizontal="center" vertical="center" textRotation="0" wrapText="true" indent="0" shrinkToFit="false"/>
      <protection locked="true" hidden="false"/>
    </xf>
    <xf numFmtId="167" fontId="11" fillId="5" borderId="1"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6" fontId="18" fillId="4" borderId="2" xfId="0" applyFont="true" applyBorder="true" applyAlignment="true" applyProtection="false">
      <alignment horizontal="center" vertical="center" textRotation="0" wrapText="true" indent="0" shrinkToFit="false"/>
      <protection locked="true" hidden="false"/>
    </xf>
    <xf numFmtId="173" fontId="18" fillId="4" borderId="2" xfId="0" applyFont="true" applyBorder="true" applyAlignment="true" applyProtection="false">
      <alignment horizontal="center" vertical="center" textRotation="0" wrapText="true" indent="0" shrinkToFit="false"/>
      <protection locked="true" hidden="false"/>
    </xf>
    <xf numFmtId="166" fontId="18" fillId="5" borderId="2" xfId="0" applyFont="true" applyBorder="true" applyAlignment="true" applyProtection="false">
      <alignment horizontal="center" vertical="center" textRotation="0" wrapText="true" indent="0" shrinkToFit="false"/>
      <protection locked="true" hidden="false"/>
    </xf>
    <xf numFmtId="164" fontId="18" fillId="5"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72" fontId="19" fillId="0" borderId="1" xfId="0" applyFont="true" applyBorder="true" applyAlignment="true" applyProtection="false">
      <alignment horizontal="center" vertical="center" textRotation="0" wrapText="true" indent="0" shrinkToFit="false"/>
      <protection locked="true" hidden="false"/>
    </xf>
    <xf numFmtId="168" fontId="1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9" fontId="19"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8" fontId="17" fillId="4" borderId="1" xfId="0" applyFont="true" applyBorder="true" applyAlignment="true" applyProtection="false">
      <alignment horizontal="center" vertical="center" textRotation="0" wrapText="false" indent="0" shrinkToFit="false"/>
      <protection locked="true" hidden="false"/>
    </xf>
    <xf numFmtId="174" fontId="17" fillId="4" borderId="1" xfId="0" applyFont="true" applyBorder="true" applyAlignment="true" applyProtection="false">
      <alignment horizontal="center" vertical="center" textRotation="0" wrapText="false" indent="0" shrinkToFit="false"/>
      <protection locked="true" hidden="false"/>
    </xf>
    <xf numFmtId="167" fontId="17" fillId="4" borderId="1" xfId="0" applyFont="true" applyBorder="true" applyAlignment="true" applyProtection="false">
      <alignment horizontal="center" vertical="center" textRotation="0" wrapText="false" indent="0" shrinkToFit="false"/>
      <protection locked="true" hidden="false"/>
    </xf>
    <xf numFmtId="174" fontId="18" fillId="5" borderId="2" xfId="0" applyFont="true" applyBorder="true" applyAlignment="true" applyProtection="false">
      <alignment horizontal="center" vertical="center" textRotation="0" wrapText="tru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74" fontId="11" fillId="5" borderId="1" xfId="0" applyFont="true" applyBorder="true" applyAlignment="true" applyProtection="false">
      <alignment horizontal="center" vertical="center" textRotation="0" wrapText="true" indent="0" shrinkToFit="false"/>
      <protection locked="true" hidden="false"/>
    </xf>
    <xf numFmtId="169" fontId="11" fillId="5" borderId="1" xfId="0" applyFont="true" applyBorder="true" applyAlignment="true" applyProtection="false">
      <alignment horizontal="center" vertical="center" textRotation="0" wrapText="true" indent="0" shrinkToFit="false"/>
      <protection locked="true" hidden="false"/>
    </xf>
    <xf numFmtId="171" fontId="19" fillId="0" borderId="1" xfId="0" applyFont="true" applyBorder="true" applyAlignment="true" applyProtection="false">
      <alignment horizontal="center" vertical="center" textRotation="0" wrapText="true" indent="0" shrinkToFit="false"/>
      <protection locked="true" hidden="false"/>
    </xf>
    <xf numFmtId="168" fontId="18" fillId="5" borderId="2" xfId="0" applyFont="true" applyBorder="true" applyAlignment="true" applyProtection="false">
      <alignment horizontal="center" vertical="center" textRotation="0" wrapText="true" indent="0" shrinkToFit="false"/>
      <protection locked="true" hidden="false"/>
    </xf>
    <xf numFmtId="166" fontId="19" fillId="0" borderId="1" xfId="0" applyFont="true" applyBorder="true" applyAlignment="true" applyProtection="false">
      <alignment horizontal="center" vertical="center" textRotation="0" wrapText="true" indent="0" shrinkToFit="false"/>
      <protection locked="true" hidden="false"/>
    </xf>
    <xf numFmtId="165" fontId="19" fillId="0" borderId="1" xfId="0" applyFont="true" applyBorder="true" applyAlignment="true" applyProtection="false">
      <alignment horizontal="center" vertical="center" textRotation="0" wrapText="true" indent="0" shrinkToFit="false"/>
      <protection locked="true" hidden="false"/>
    </xf>
    <xf numFmtId="167" fontId="18" fillId="5" borderId="2" xfId="0" applyFont="true" applyBorder="true" applyAlignment="true" applyProtection="false">
      <alignment horizontal="center" vertical="center" textRotation="0" wrapText="true" indent="0" shrinkToFit="false"/>
      <protection locked="true" hidden="false"/>
    </xf>
    <xf numFmtId="175" fontId="19" fillId="0" borderId="1" xfId="0" applyFont="true" applyBorder="true" applyAlignment="true" applyProtection="false">
      <alignment horizontal="center" vertical="center" textRotation="0" wrapText="true" indent="0" shrinkToFit="false"/>
      <protection locked="true" hidden="false"/>
    </xf>
    <xf numFmtId="170" fontId="19" fillId="0" borderId="1" xfId="0" applyFont="true" applyBorder="true" applyAlignment="true" applyProtection="false">
      <alignment horizontal="center" vertical="center" textRotation="0" wrapText="true" indent="0" shrinkToFit="false"/>
      <protection locked="true" hidden="false"/>
    </xf>
    <xf numFmtId="167" fontId="17" fillId="4" borderId="1" xfId="0" applyFont="true" applyBorder="true" applyAlignment="true" applyProtection="true">
      <alignment horizontal="center" vertical="center" textRotation="0" wrapText="false" indent="0" shrinkToFit="false"/>
      <protection locked="false" hidden="false"/>
    </xf>
    <xf numFmtId="170" fontId="11" fillId="0" borderId="1" xfId="0" applyFont="true" applyBorder="true" applyAlignment="true" applyProtection="false">
      <alignment horizontal="center" vertical="center" textRotation="0" wrapText="true" indent="0" shrinkToFit="false"/>
      <protection locked="true" hidden="false"/>
    </xf>
    <xf numFmtId="171" fontId="11" fillId="0"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5" fontId="17" fillId="4" borderId="1" xfId="0" applyFont="true" applyBorder="true" applyAlignment="true" applyProtection="true">
      <alignment horizontal="center" vertical="center" textRotation="0" wrapText="false" indent="0" shrinkToFit="false"/>
      <protection locked="false" hidden="false"/>
    </xf>
    <xf numFmtId="176" fontId="19" fillId="0" borderId="1" xfId="0" applyFont="true" applyBorder="true" applyAlignment="true" applyProtection="false">
      <alignment horizontal="center" vertical="center" textRotation="0" wrapText="true" indent="0" shrinkToFit="false"/>
      <protection locked="true" hidden="false"/>
    </xf>
    <xf numFmtId="168" fontId="17" fillId="4" borderId="1" xfId="0" applyFont="true" applyBorder="true" applyAlignment="true" applyProtection="true">
      <alignment horizontal="center" vertical="center" textRotation="0" wrapText="false" indent="0" shrinkToFit="false"/>
      <protection locked="fals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left"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77" fontId="19" fillId="0" borderId="1" xfId="0" applyFont="true" applyBorder="true" applyAlignment="true" applyProtection="false">
      <alignment horizontal="center" vertical="center" textRotation="0" wrapText="true" indent="0" shrinkToFit="false"/>
      <protection locked="true" hidden="false"/>
    </xf>
    <xf numFmtId="174" fontId="19" fillId="0" borderId="1" xfId="0" applyFont="true" applyBorder="true" applyAlignment="true" applyProtection="false">
      <alignment horizontal="center" vertical="center" textRotation="0" wrapText="true" indent="0" shrinkToFit="false"/>
      <protection locked="true" hidden="false"/>
    </xf>
    <xf numFmtId="172" fontId="11" fillId="0" borderId="1" xfId="0" applyFont="true" applyBorder="true" applyAlignment="true" applyProtection="false">
      <alignment horizontal="center" vertical="center" textRotation="0" wrapText="true" indent="0" shrinkToFit="false"/>
      <protection locked="true" hidden="false"/>
    </xf>
    <xf numFmtId="176"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false" hidden="false"/>
    </xf>
    <xf numFmtId="169" fontId="17" fillId="4" borderId="1" xfId="0" applyFont="true" applyBorder="true" applyAlignment="true" applyProtection="true">
      <alignment horizontal="center" vertical="center" textRotation="0" wrapText="false" indent="0" shrinkToFit="false"/>
      <protection locked="false" hidden="false"/>
    </xf>
    <xf numFmtId="178" fontId="11" fillId="0" borderId="1" xfId="0" applyFont="true" applyBorder="true" applyAlignment="true" applyProtection="false">
      <alignment horizontal="center" vertical="center" textRotation="0" wrapText="true" indent="0" shrinkToFit="false"/>
      <protection locked="true" hidden="false"/>
    </xf>
    <xf numFmtId="174" fontId="14" fillId="0" borderId="1" xfId="0" applyFont="true" applyBorder="true" applyAlignment="true" applyProtection="false">
      <alignment horizontal="center" vertical="center" textRotation="0" wrapText="true" indent="0" shrinkToFit="false"/>
      <protection locked="true" hidden="false"/>
    </xf>
    <xf numFmtId="174" fontId="11" fillId="0" borderId="1" xfId="0" applyFont="true" applyBorder="true" applyAlignment="true" applyProtection="false">
      <alignment horizontal="center" vertical="center" textRotation="0" wrapText="true" indent="0" shrinkToFit="false"/>
      <protection locked="true" hidden="false"/>
    </xf>
    <xf numFmtId="174" fontId="19" fillId="0" borderId="1" xfId="0" applyFont="true" applyBorder="true" applyAlignment="true" applyProtection="false">
      <alignment horizontal="left" vertical="center" textRotation="0" wrapText="true" indent="0" shrinkToFit="false"/>
      <protection locked="true" hidden="false"/>
    </xf>
    <xf numFmtId="164" fontId="13" fillId="5" borderId="0" xfId="0" applyFont="true" applyBorder="false" applyAlignment="true" applyProtection="false">
      <alignment horizontal="general" vertical="center" textRotation="0" wrapText="true" indent="0" shrinkToFit="false"/>
      <protection locked="true" hidden="false"/>
    </xf>
    <xf numFmtId="166" fontId="18" fillId="5" borderId="2" xfId="0" applyFont="true" applyBorder="true" applyAlignment="true" applyProtection="true">
      <alignment horizontal="center" vertical="center" textRotation="0" wrapText="true" indent="0" shrinkToFit="false"/>
      <protection locked="false" hidden="false"/>
    </xf>
    <xf numFmtId="167" fontId="18" fillId="4"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74" fontId="18" fillId="4" borderId="2" xfId="0" applyFont="true" applyBorder="true" applyAlignment="true" applyProtection="false">
      <alignment horizontal="center" vertical="center" textRotation="0" wrapText="true" indent="0" shrinkToFit="false"/>
      <protection locked="true" hidden="false"/>
    </xf>
    <xf numFmtId="165" fontId="18" fillId="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4CCCC"/>
        </patternFill>
      </fill>
    </dxf>
    <dxf>
      <fill>
        <patternFill>
          <bgColor rgb="FFFCE4D6"/>
        </patternFill>
      </fill>
    </dxf>
    <dxf>
      <fill>
        <patternFill>
          <bgColor rgb="FFF8CBCB"/>
        </patternFill>
      </fill>
    </dxf>
    <dxf>
      <fill>
        <patternFill patternType="solid">
          <fgColor rgb="FF0B3D5C"/>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BFBFBF"/>
      <rgbColor rgb="FF808080"/>
      <rgbColor rgb="FF9999FF"/>
      <rgbColor rgb="FF993366"/>
      <rgbColor rgb="FFFFF2CC"/>
      <rgbColor rgb="FFDCEFEF"/>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E2F0D9"/>
      <rgbColor rgb="FFFCE4D6"/>
      <rgbColor rgb="FF99CCFF"/>
      <rgbColor rgb="FFFF99CC"/>
      <rgbColor rgb="FFCC99FF"/>
      <rgbColor rgb="FFF8CBCB"/>
      <rgbColor rgb="FF3366FF"/>
      <rgbColor rgb="FF33CCCC"/>
      <rgbColor rgb="FF99CC00"/>
      <rgbColor rgb="FFFFCC00"/>
      <rgbColor rgb="FFFF9900"/>
      <rgbColor rgb="FFFF6600"/>
      <rgbColor rgb="FF666666"/>
      <rgbColor rgb="FFB7B7B7"/>
      <rgbColor rgb="FF0B3D5C"/>
      <rgbColor rgb="FF339966"/>
      <rgbColor rgb="FF003300"/>
      <rgbColor rgb="FF333300"/>
      <rgbColor rgb="FF9B2226"/>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ables/table1.xml><?xml version="1.0" encoding="utf-8"?>
<table xmlns="http://schemas.openxmlformats.org/spreadsheetml/2006/main" id="1" name="tblWQ" displayName="tblWQ" ref="A5:L65" headerRowCount="1" totalsRowCount="0" totalsRowShown="0">
  <autoFilter ref="A5:L65"/>
  <tableColumns count="12">
    <tableColumn id="1" name="Date"/>
    <tableColumn id="2" name="pH"/>
    <tableColumn id="3" name="Pre-Dawn DO (mg/L)"/>
    <tableColumn id="4" name="TAN (mg/L)"/>
    <tableColumn id="5" name="H₂S"/>
    <tableColumn id="6" name="Secchi Depth (cm)"/>
    <tableColumn id="7" name="Diatoms %"/>
    <tableColumn id="8" name="Green Algae %"/>
    <tableColumn id="9" name="Cyanobacteria %"/>
    <tableColumn id="10" name="Zooplankton Score"/>
    <tableColumn id="11" name="Data Source"/>
    <tableColumn id="12" name="Evidence /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4.vml"/>
</Relationships>
</file>

<file path=xl/worksheets/_rels/sheet1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5"/>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A1" activeCellId="0" sqref="A1"/>
    </sheetView>
  </sheetViews>
  <sheetFormatPr defaultColWidth="8.7421875" defaultRowHeight="15" customHeight="true" zeroHeight="false" outlineLevelRow="0" outlineLevelCol="0"/>
  <cols>
    <col collapsed="false" customWidth="true" hidden="false" outlineLevel="0" max="1" min="1" style="1" width="4.02"/>
    <col collapsed="false" customWidth="true" hidden="false" outlineLevel="0" max="2" min="2" style="1" width="105.06"/>
  </cols>
  <sheetData>
    <row r="2" customFormat="false" ht="21.75" hidden="false" customHeight="true" outlineLevel="0" collapsed="false">
      <c r="B2" s="2" t="s">
        <v>0</v>
      </c>
    </row>
    <row r="3" customFormat="false" ht="27.75" hidden="false" customHeight="true" outlineLevel="0" collapsed="false">
      <c r="B3" s="3" t="s">
        <v>1</v>
      </c>
    </row>
    <row r="5" customFormat="false" ht="27.75" hidden="false" customHeight="true" outlineLevel="0" collapsed="false">
      <c r="B5" s="4" t="s">
        <v>2</v>
      </c>
    </row>
    <row r="6" customFormat="false" ht="27.75" hidden="false" customHeight="true" outlineLevel="0" collapsed="false">
      <c r="B6" s="5" t="s">
        <v>3</v>
      </c>
    </row>
    <row r="7" customFormat="false" ht="7.5" hidden="false" customHeight="true" outlineLevel="0" collapsed="false">
      <c r="B7" s="5"/>
    </row>
    <row r="8" customFormat="false" ht="27.75" hidden="false" customHeight="true" outlineLevel="0" collapsed="false">
      <c r="B8" s="4" t="s">
        <v>4</v>
      </c>
    </row>
    <row r="9" customFormat="false" ht="27.75" hidden="false" customHeight="true" outlineLevel="0" collapsed="false">
      <c r="B9" s="5" t="s">
        <v>5</v>
      </c>
    </row>
    <row r="10" customFormat="false" ht="27.75" hidden="false" customHeight="true" outlineLevel="0" collapsed="false">
      <c r="B10" s="5" t="s">
        <v>6</v>
      </c>
    </row>
    <row r="11" customFormat="false" ht="27.75" hidden="false" customHeight="true" outlineLevel="0" collapsed="false">
      <c r="B11" s="5" t="s">
        <v>7</v>
      </c>
    </row>
    <row r="12" customFormat="false" ht="27.75" hidden="false" customHeight="true" outlineLevel="0" collapsed="false">
      <c r="B12" s="5" t="s">
        <v>8</v>
      </c>
    </row>
    <row r="13" customFormat="false" ht="27.75" hidden="false" customHeight="true" outlineLevel="0" collapsed="false">
      <c r="B13" s="5" t="s">
        <v>9</v>
      </c>
    </row>
    <row r="14" customFormat="false" ht="27.75" hidden="false" customHeight="true" outlineLevel="0" collapsed="false">
      <c r="B14" s="5" t="s">
        <v>10</v>
      </c>
    </row>
    <row r="15" customFormat="false" ht="27.75" hidden="false" customHeight="true" outlineLevel="0" collapsed="false">
      <c r="B15" s="5" t="s">
        <v>11</v>
      </c>
    </row>
    <row r="16" customFormat="false" ht="27.75" hidden="false" customHeight="true" outlineLevel="0" collapsed="false">
      <c r="B16" s="5" t="s">
        <v>12</v>
      </c>
    </row>
    <row r="17" customFormat="false" ht="27.75" hidden="false" customHeight="true" outlineLevel="0" collapsed="false">
      <c r="B17" s="5" t="s">
        <v>13</v>
      </c>
    </row>
    <row r="18" customFormat="false" ht="27.75" hidden="false" customHeight="true" outlineLevel="0" collapsed="false">
      <c r="B18" s="5" t="s">
        <v>14</v>
      </c>
    </row>
    <row r="19" customFormat="false" ht="27.75" hidden="false" customHeight="true" outlineLevel="0" collapsed="false">
      <c r="B19" s="5" t="s">
        <v>15</v>
      </c>
    </row>
    <row r="20" customFormat="false" ht="27.75" hidden="false" customHeight="true" outlineLevel="0" collapsed="false">
      <c r="B20" s="5" t="s">
        <v>16</v>
      </c>
    </row>
    <row r="21" customFormat="false" ht="27.75" hidden="false" customHeight="true" outlineLevel="0" collapsed="false">
      <c r="B21" s="5" t="s">
        <v>17</v>
      </c>
    </row>
    <row r="22" customFormat="false" ht="27.75" hidden="false" customHeight="true" outlineLevel="0" collapsed="false">
      <c r="B22" s="5" t="s">
        <v>18</v>
      </c>
    </row>
    <row r="23" customFormat="false" ht="27.75" hidden="false" customHeight="true" outlineLevel="0" collapsed="false">
      <c r="B23" s="5" t="s">
        <v>19</v>
      </c>
    </row>
    <row r="24" customFormat="false" ht="27.75" hidden="false" customHeight="true" outlineLevel="0" collapsed="false">
      <c r="B24" s="4" t="s">
        <v>20</v>
      </c>
    </row>
    <row r="25" customFormat="false" ht="27.75" hidden="false" customHeight="true" outlineLevel="0" collapsed="false">
      <c r="B25" s="5" t="s">
        <v>21</v>
      </c>
    </row>
    <row r="26" customFormat="false" ht="27.75" hidden="false" customHeight="true" outlineLevel="0" collapsed="false">
      <c r="B26" s="5" t="s">
        <v>22</v>
      </c>
    </row>
    <row r="27" customFormat="false" ht="27.75" hidden="false" customHeight="true" outlineLevel="0" collapsed="false">
      <c r="B27" s="5" t="s">
        <v>23</v>
      </c>
    </row>
    <row r="28" customFormat="false" ht="7.5" hidden="false" customHeight="true" outlineLevel="0" collapsed="false">
      <c r="B28" s="5"/>
    </row>
    <row r="29" customFormat="false" ht="27.75" hidden="false" customHeight="true" outlineLevel="0" collapsed="false">
      <c r="B29" s="4" t="s">
        <v>24</v>
      </c>
    </row>
    <row r="30" customFormat="false" ht="27.75" hidden="false" customHeight="true" outlineLevel="0" collapsed="false">
      <c r="B30" s="5" t="s">
        <v>25</v>
      </c>
    </row>
    <row r="31" customFormat="false" ht="27.75" hidden="false" customHeight="true" outlineLevel="0" collapsed="false">
      <c r="B31" s="5" t="s">
        <v>26</v>
      </c>
    </row>
    <row r="32" customFormat="false" ht="7.5" hidden="false" customHeight="true" outlineLevel="0" collapsed="false">
      <c r="B32" s="5"/>
    </row>
    <row r="33" customFormat="false" ht="27.75" hidden="false" customHeight="true" outlineLevel="0" collapsed="false">
      <c r="B33" s="5" t="s">
        <v>27</v>
      </c>
    </row>
    <row r="34" customFormat="false" ht="27.75" hidden="false" customHeight="true" outlineLevel="0" collapsed="false">
      <c r="B34" s="5" t="s">
        <v>28</v>
      </c>
    </row>
    <row r="35" customFormat="false" ht="27.75" hidden="false" customHeight="true" outlineLevel="0" collapsed="false">
      <c r="B35" s="5" t="s">
        <v>29</v>
      </c>
    </row>
    <row r="36" customFormat="false" ht="27.75" hidden="false" customHeight="true" outlineLevel="0" collapsed="false">
      <c r="B36" s="5" t="s">
        <v>30</v>
      </c>
    </row>
    <row r="37" customFormat="false" ht="27.75" hidden="false" customHeight="true" outlineLevel="0" collapsed="false">
      <c r="B37" s="5" t="s">
        <v>31</v>
      </c>
    </row>
    <row r="38" customFormat="false" ht="7.5" hidden="false" customHeight="true" outlineLevel="0" collapsed="false">
      <c r="B38" s="5"/>
    </row>
    <row r="39" customFormat="false" ht="7.5" hidden="false" customHeight="true" outlineLevel="0" collapsed="false">
      <c r="B39" s="5"/>
    </row>
    <row r="40" customFormat="false" ht="7.5" hidden="false" customHeight="true" outlineLevel="0" collapsed="false">
      <c r="B40" s="5"/>
    </row>
    <row r="41" customFormat="false" ht="27.75" hidden="false" customHeight="true" outlineLevel="0" collapsed="false">
      <c r="B41" s="5" t="s">
        <v>32</v>
      </c>
    </row>
    <row r="42" customFormat="false" ht="27.75" hidden="false" customHeight="true" outlineLevel="0" collapsed="false">
      <c r="B42" s="5" t="s">
        <v>33</v>
      </c>
    </row>
    <row r="43" customFormat="false" ht="27.75" hidden="false" customHeight="true" outlineLevel="0" collapsed="false">
      <c r="B43" s="5" t="s">
        <v>34</v>
      </c>
    </row>
    <row r="44" customFormat="false" ht="27.75" hidden="false" customHeight="true" outlineLevel="0" collapsed="false">
      <c r="B44" s="5" t="s">
        <v>35</v>
      </c>
    </row>
    <row r="45" customFormat="false" ht="24" hidden="false" customHeight="true" outlineLevel="0" collapsed="false">
      <c r="B45" s="6"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11.97"/>
    <col collapsed="false" customWidth="true" hidden="false" outlineLevel="0" max="2" min="2" style="1" width="69.95"/>
    <col collapsed="false" customWidth="true" hidden="false" outlineLevel="0" max="3" min="3" style="1" width="18.03"/>
  </cols>
  <sheetData>
    <row r="1" customFormat="false" ht="19.5" hidden="false" customHeight="true" outlineLevel="0" collapsed="false">
      <c r="A1" s="7" t="s">
        <v>37</v>
      </c>
      <c r="B1" s="7"/>
      <c r="C1" s="7"/>
    </row>
    <row r="3" customFormat="false" ht="25.5" hidden="false" customHeight="true" outlineLevel="0" collapsed="false">
      <c r="A3" s="8" t="s">
        <v>38</v>
      </c>
      <c r="B3" s="8" t="s">
        <v>39</v>
      </c>
      <c r="C3" s="8" t="s">
        <v>40</v>
      </c>
    </row>
    <row r="4" customFormat="false" ht="42" hidden="false" customHeight="true" outlineLevel="0" collapsed="false">
      <c r="A4" s="9" t="s">
        <v>41</v>
      </c>
      <c r="B4" s="10" t="s">
        <v>42</v>
      </c>
      <c r="C4" s="11" t="s">
        <v>43</v>
      </c>
    </row>
    <row r="5" customFormat="false" ht="42" hidden="false" customHeight="true" outlineLevel="0" collapsed="false">
      <c r="A5" s="9" t="s">
        <v>41</v>
      </c>
      <c r="B5" s="10" t="s">
        <v>44</v>
      </c>
      <c r="C5" s="11" t="s">
        <v>45</v>
      </c>
    </row>
    <row r="6" customFormat="false" ht="42" hidden="false" customHeight="true" outlineLevel="0" collapsed="false">
      <c r="A6" s="9" t="s">
        <v>41</v>
      </c>
      <c r="B6" s="10" t="s">
        <v>46</v>
      </c>
      <c r="C6" s="11" t="s">
        <v>47</v>
      </c>
    </row>
    <row r="7" customFormat="false" ht="42" hidden="false" customHeight="true" outlineLevel="0" collapsed="false">
      <c r="A7" s="9" t="s">
        <v>41</v>
      </c>
      <c r="B7" s="10" t="s">
        <v>48</v>
      </c>
      <c r="C7" s="11" t="s">
        <v>49</v>
      </c>
    </row>
    <row r="8" customFormat="false" ht="42" hidden="false" customHeight="true" outlineLevel="0" collapsed="false">
      <c r="A8" s="9" t="s">
        <v>50</v>
      </c>
      <c r="B8" s="10" t="s">
        <v>51</v>
      </c>
      <c r="C8" s="11" t="s">
        <v>52</v>
      </c>
    </row>
    <row r="9" customFormat="false" ht="42" hidden="false" customHeight="true" outlineLevel="0" collapsed="false">
      <c r="A9" s="9" t="s">
        <v>50</v>
      </c>
      <c r="B9" s="10" t="s">
        <v>53</v>
      </c>
      <c r="C9" s="11" t="s">
        <v>47</v>
      </c>
    </row>
    <row r="10" customFormat="false" ht="42" hidden="false" customHeight="true" outlineLevel="0" collapsed="false">
      <c r="A10" s="9" t="s">
        <v>50</v>
      </c>
      <c r="B10" s="10" t="s">
        <v>54</v>
      </c>
      <c r="C10" s="11" t="s">
        <v>55</v>
      </c>
    </row>
    <row r="11" customFormat="false" ht="42" hidden="false" customHeight="true" outlineLevel="0" collapsed="false">
      <c r="A11" s="9" t="s">
        <v>56</v>
      </c>
      <c r="B11" s="10" t="s">
        <v>57</v>
      </c>
      <c r="C11" s="11" t="s">
        <v>58</v>
      </c>
    </row>
    <row r="12" customFormat="false" ht="42" hidden="false" customHeight="true" outlineLevel="0" collapsed="false">
      <c r="A12" s="9" t="s">
        <v>56</v>
      </c>
      <c r="B12" s="10" t="s">
        <v>59</v>
      </c>
      <c r="C12" s="11" t="s">
        <v>60</v>
      </c>
    </row>
    <row r="13" customFormat="false" ht="42" hidden="false" customHeight="true" outlineLevel="0" collapsed="false">
      <c r="A13" s="9" t="s">
        <v>56</v>
      </c>
      <c r="B13" s="10" t="s">
        <v>61</v>
      </c>
      <c r="C13" s="11" t="s">
        <v>62</v>
      </c>
    </row>
    <row r="14" customFormat="false" ht="42" hidden="false" customHeight="true" outlineLevel="0" collapsed="false">
      <c r="A14" s="9" t="s">
        <v>56</v>
      </c>
      <c r="B14" s="10" t="s">
        <v>63</v>
      </c>
      <c r="C14" s="11" t="s">
        <v>64</v>
      </c>
    </row>
    <row r="15" customFormat="false" ht="42" hidden="false" customHeight="true" outlineLevel="0" collapsed="false">
      <c r="A15" s="9" t="s">
        <v>56</v>
      </c>
      <c r="B15" s="10" t="s">
        <v>65</v>
      </c>
      <c r="C15" s="11" t="s">
        <v>66</v>
      </c>
    </row>
    <row r="16" customFormat="false" ht="42" hidden="false" customHeight="true" outlineLevel="0" collapsed="false">
      <c r="A16" s="9" t="s">
        <v>56</v>
      </c>
      <c r="B16" s="10" t="s">
        <v>67</v>
      </c>
      <c r="C16" s="11" t="s">
        <v>55</v>
      </c>
    </row>
    <row r="17" customFormat="false" ht="42" hidden="false" customHeight="true" outlineLevel="0" collapsed="false">
      <c r="A17" s="9" t="s">
        <v>68</v>
      </c>
      <c r="B17" s="10" t="s">
        <v>69</v>
      </c>
      <c r="C17" s="11" t="s">
        <v>70</v>
      </c>
    </row>
    <row r="18" customFormat="false" ht="42" hidden="false" customHeight="true" outlineLevel="0" collapsed="false">
      <c r="A18" s="9" t="s">
        <v>68</v>
      </c>
      <c r="B18" s="10" t="s">
        <v>71</v>
      </c>
      <c r="C18" s="11" t="s">
        <v>72</v>
      </c>
    </row>
    <row r="19" customFormat="false" ht="42" hidden="false" customHeight="true" outlineLevel="0" collapsed="false">
      <c r="A19" s="9" t="s">
        <v>68</v>
      </c>
      <c r="B19" s="10" t="s">
        <v>73</v>
      </c>
      <c r="C19" s="11" t="s">
        <v>52</v>
      </c>
    </row>
    <row r="20" customFormat="false" ht="42" hidden="false" customHeight="true" outlineLevel="0" collapsed="false">
      <c r="A20" s="9" t="s">
        <v>68</v>
      </c>
      <c r="B20" s="10" t="s">
        <v>74</v>
      </c>
      <c r="C20" s="11" t="s">
        <v>60</v>
      </c>
    </row>
    <row r="21" customFormat="false" ht="42" hidden="false" customHeight="true" outlineLevel="0" collapsed="false">
      <c r="A21" s="9" t="s">
        <v>68</v>
      </c>
      <c r="B21" s="10" t="s">
        <v>75</v>
      </c>
      <c r="C21" s="11" t="s">
        <v>60</v>
      </c>
    </row>
    <row r="22" customFormat="false" ht="42" hidden="false" customHeight="true" outlineLevel="0" collapsed="false">
      <c r="A22" s="9" t="s">
        <v>68</v>
      </c>
      <c r="B22" s="10" t="s">
        <v>76</v>
      </c>
      <c r="C22" s="11" t="s">
        <v>77</v>
      </c>
    </row>
    <row r="23" customFormat="false" ht="42" hidden="false" customHeight="true" outlineLevel="0" collapsed="false">
      <c r="A23" s="9" t="s">
        <v>68</v>
      </c>
      <c r="B23" s="10" t="s">
        <v>78</v>
      </c>
      <c r="C23" s="11" t="s">
        <v>55</v>
      </c>
    </row>
    <row r="25" customFormat="false" ht="42" hidden="false" customHeight="true" outlineLevel="0" collapsed="false">
      <c r="A25" s="12" t="s">
        <v>79</v>
      </c>
      <c r="B25" s="10" t="s">
        <v>80</v>
      </c>
      <c r="C25" s="11" t="s">
        <v>58</v>
      </c>
    </row>
    <row r="26" customFormat="false" ht="42" hidden="false" customHeight="true" outlineLevel="0" collapsed="false">
      <c r="A26" s="13" t="s">
        <v>79</v>
      </c>
      <c r="B26" s="13"/>
      <c r="C26" s="13"/>
    </row>
    <row r="27" customFormat="false" ht="45.75" hidden="false" customHeight="true" outlineLevel="0" collapsed="false">
      <c r="A27" s="13" t="s">
        <v>81</v>
      </c>
      <c r="B27" s="13"/>
      <c r="C27" s="13"/>
    </row>
    <row r="28" customFormat="false" ht="45.75" hidden="false" customHeight="true" outlineLevel="0" collapsed="false">
      <c r="A28" s="13" t="s">
        <v>81</v>
      </c>
      <c r="B28" s="13"/>
      <c r="C28" s="13"/>
    </row>
    <row r="29" customFormat="false" ht="45.75" hidden="false" customHeight="true" outlineLevel="0" collapsed="false">
      <c r="A29" s="13" t="s">
        <v>81</v>
      </c>
      <c r="B29" s="13"/>
      <c r="C29" s="13"/>
    </row>
    <row r="30" customFormat="false" ht="45.75" hidden="false" customHeight="true" outlineLevel="0" collapsed="false">
      <c r="A30" s="13" t="s">
        <v>81</v>
      </c>
      <c r="B30" s="13"/>
      <c r="C30" s="13"/>
    </row>
    <row r="31" customFormat="false" ht="109.5" hidden="false" customHeight="true" outlineLevel="0" collapsed="false">
      <c r="A31" s="14" t="s">
        <v>82</v>
      </c>
      <c r="B31" s="14"/>
      <c r="C31" s="14"/>
    </row>
    <row r="32" customFormat="false" ht="25.5" hidden="false" customHeight="true" outlineLevel="0" collapsed="false">
      <c r="A32" s="15" t="s">
        <v>83</v>
      </c>
      <c r="B32" s="15"/>
      <c r="C32" s="15"/>
    </row>
    <row r="33" customFormat="false" ht="147" hidden="false" customHeight="true" outlineLevel="0" collapsed="false">
      <c r="A33" s="10" t="s">
        <v>84</v>
      </c>
    </row>
    <row r="34" customFormat="false" ht="113.25" hidden="false" customHeight="true" outlineLevel="0" collapsed="false">
      <c r="A34" s="10" t="s">
        <v>85</v>
      </c>
    </row>
    <row r="35" customFormat="false" ht="124.5" hidden="false" customHeight="true" outlineLevel="0" collapsed="false">
      <c r="A35" s="10" t="s">
        <v>86</v>
      </c>
    </row>
    <row r="36" customFormat="false" ht="90.75" hidden="false" customHeight="true" outlineLevel="0" collapsed="false">
      <c r="A36" s="10" t="s">
        <v>87</v>
      </c>
    </row>
    <row r="37" customFormat="false" ht="147" hidden="false" customHeight="true" outlineLevel="0" collapsed="false">
      <c r="A37" s="10" t="s">
        <v>88</v>
      </c>
    </row>
    <row r="38" customFormat="false" ht="113.25" hidden="false" customHeight="true" outlineLevel="0" collapsed="false">
      <c r="A38" s="10" t="s">
        <v>89</v>
      </c>
    </row>
    <row r="39" customFormat="false" ht="113.25" hidden="false" customHeight="true" outlineLevel="0" collapsed="false">
      <c r="A39" s="10" t="s">
        <v>90</v>
      </c>
    </row>
    <row r="41" customFormat="false" ht="15" hidden="false" customHeight="true" outlineLevel="0" collapsed="false">
      <c r="A41" s="1" t="s">
        <v>91</v>
      </c>
      <c r="B41" s="1" t="s">
        <v>92</v>
      </c>
      <c r="C41" s="1" t="s">
        <v>93</v>
      </c>
    </row>
  </sheetData>
  <mergeCells count="8">
    <mergeCell ref="A1:C1"/>
    <mergeCell ref="A26:C26"/>
    <mergeCell ref="A27:C27"/>
    <mergeCell ref="A28:C28"/>
    <mergeCell ref="A29:C29"/>
    <mergeCell ref="A30:C30"/>
    <mergeCell ref="A31:C31"/>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D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2"/>
    <col collapsed="false" customWidth="true" hidden="false" outlineLevel="0" max="2" min="2" style="1" width="20"/>
    <col collapsed="false" customWidth="true" hidden="false" outlineLevel="0" max="3" min="3" style="1" width="18"/>
    <col collapsed="false" customWidth="true" hidden="false" outlineLevel="0" max="4" min="4" style="1" width="72"/>
  </cols>
  <sheetData>
    <row r="1" customFormat="false" ht="21.75" hidden="false" customHeight="true" outlineLevel="0" collapsed="false">
      <c r="A1" s="16" t="s">
        <v>94</v>
      </c>
      <c r="B1" s="16"/>
      <c r="C1" s="16"/>
      <c r="D1" s="16"/>
    </row>
    <row r="2" customFormat="false" ht="15" hidden="false" customHeight="true" outlineLevel="0" collapsed="false">
      <c r="A2" s="17" t="s">
        <v>95</v>
      </c>
      <c r="B2" s="17"/>
      <c r="C2" s="17"/>
      <c r="D2" s="17"/>
    </row>
    <row r="3" customFormat="false" ht="15" hidden="false" customHeight="true" outlineLevel="0" collapsed="false">
      <c r="A3" s="18" t="s">
        <v>96</v>
      </c>
      <c r="B3" s="18"/>
      <c r="C3" s="18"/>
      <c r="D3" s="18"/>
    </row>
    <row r="4" customFormat="false" ht="19.5" hidden="false" customHeight="true" outlineLevel="0" collapsed="false">
      <c r="A4" s="19" t="s">
        <v>97</v>
      </c>
      <c r="B4" s="20"/>
      <c r="C4" s="20"/>
      <c r="D4" s="20"/>
    </row>
    <row r="5" customFormat="false" ht="25.5" hidden="false" customHeight="true" outlineLevel="0" collapsed="false">
      <c r="A5" s="21" t="s">
        <v>98</v>
      </c>
      <c r="B5" s="22" t="s">
        <v>99</v>
      </c>
      <c r="C5" s="23" t="s">
        <v>100</v>
      </c>
      <c r="D5" s="24" t="s">
        <v>101</v>
      </c>
    </row>
    <row r="6" customFormat="false" ht="25.5" hidden="false" customHeight="true" outlineLevel="0" collapsed="false">
      <c r="A6" s="21" t="s">
        <v>102</v>
      </c>
      <c r="B6" s="22" t="s">
        <v>103</v>
      </c>
      <c r="C6" s="23" t="s">
        <v>104</v>
      </c>
      <c r="D6" s="24"/>
    </row>
    <row r="7" customFormat="false" ht="25.5" hidden="false" customHeight="true" outlineLevel="0" collapsed="false">
      <c r="A7" s="21" t="s">
        <v>105</v>
      </c>
      <c r="B7" s="22" t="s">
        <v>105</v>
      </c>
      <c r="C7" s="23" t="s">
        <v>104</v>
      </c>
      <c r="D7" s="24"/>
    </row>
    <row r="8" customFormat="false" ht="25.5" hidden="false" customHeight="true" outlineLevel="0" collapsed="false">
      <c r="A8" s="21" t="s">
        <v>106</v>
      </c>
      <c r="B8" s="22" t="s">
        <v>107</v>
      </c>
      <c r="C8" s="23" t="s">
        <v>104</v>
      </c>
      <c r="D8" s="24"/>
    </row>
    <row r="9" customFormat="false" ht="25.5" hidden="false" customHeight="true" outlineLevel="0" collapsed="false">
      <c r="A9" s="21" t="s">
        <v>108</v>
      </c>
      <c r="B9" s="22" t="s">
        <v>109</v>
      </c>
      <c r="C9" s="23" t="s">
        <v>104</v>
      </c>
      <c r="D9" s="24"/>
    </row>
    <row r="10" customFormat="false" ht="25.5" hidden="false" customHeight="true" outlineLevel="0" collapsed="false">
      <c r="A10" s="21" t="s">
        <v>110</v>
      </c>
      <c r="B10" s="22" t="n">
        <v>1</v>
      </c>
      <c r="C10" s="23" t="s">
        <v>111</v>
      </c>
      <c r="D10" s="24" t="s">
        <v>112</v>
      </c>
    </row>
    <row r="11" customFormat="false" ht="25.5" hidden="false" customHeight="true" outlineLevel="0" collapsed="false">
      <c r="A11" s="21" t="s">
        <v>113</v>
      </c>
      <c r="B11" s="22" t="n">
        <v>1.5</v>
      </c>
      <c r="C11" s="23" t="s">
        <v>114</v>
      </c>
      <c r="D11" s="24" t="s">
        <v>115</v>
      </c>
    </row>
    <row r="12" customFormat="false" ht="25.5" hidden="false" customHeight="true" outlineLevel="0" collapsed="false">
      <c r="A12" s="21" t="s">
        <v>116</v>
      </c>
      <c r="B12" s="22" t="n">
        <v>1</v>
      </c>
      <c r="C12" s="23" t="s">
        <v>117</v>
      </c>
      <c r="D12" s="24" t="s">
        <v>118</v>
      </c>
    </row>
    <row r="13" customFormat="false" ht="25.5" hidden="false" customHeight="true" outlineLevel="0" collapsed="false">
      <c r="A13" s="21" t="s">
        <v>119</v>
      </c>
      <c r="B13" s="22"/>
      <c r="C13" s="23" t="s">
        <v>120</v>
      </c>
      <c r="D13" s="24" t="s">
        <v>121</v>
      </c>
    </row>
    <row r="14" customFormat="false" ht="30" hidden="false" customHeight="true" outlineLevel="0" collapsed="false">
      <c r="A14" s="21" t="s">
        <v>122</v>
      </c>
      <c r="B14" s="25" t="s">
        <v>123</v>
      </c>
      <c r="C14" s="23" t="s">
        <v>124</v>
      </c>
      <c r="D14" s="11" t="s">
        <v>125</v>
      </c>
    </row>
    <row r="15" customFormat="false" ht="19.5" hidden="false" customHeight="true" outlineLevel="0" collapsed="false">
      <c r="A15" s="19" t="s">
        <v>126</v>
      </c>
      <c r="B15" s="20"/>
      <c r="C15" s="20"/>
      <c r="D15" s="20"/>
    </row>
    <row r="16" customFormat="false" ht="21.75" hidden="false" customHeight="true" outlineLevel="0" collapsed="false">
      <c r="A16" s="21" t="s">
        <v>127</v>
      </c>
      <c r="B16" s="9" t="str">
        <f aca="false">INDEX('Species Database'!$B$5:$B$9,MATCH($B$5,'Species Database'!$A$5:$A$9,0))</f>
        <v>Freshwater Fish (polyculture)</v>
      </c>
    </row>
    <row r="17" customFormat="false" ht="21.75" hidden="false" customHeight="true" outlineLevel="0" collapsed="false">
      <c r="A17" s="21" t="s">
        <v>128</v>
      </c>
      <c r="B17" s="26" t="n">
        <f aca="false">INDEX('Species Database'!$C$5:$C$9,MATCH($B$5,'Species Database'!$A$5:$A$9,0))</f>
        <v>6250</v>
      </c>
    </row>
    <row r="18" customFormat="false" ht="21.75" hidden="false" customHeight="true" outlineLevel="0" collapsed="false">
      <c r="A18" s="21" t="s">
        <v>129</v>
      </c>
      <c r="B18" s="27" t="n">
        <f aca="false">INDEX('Species Database'!$D$5:$D$9,MATCH($B$5,'Species Database'!$A$5:$A$9,0))</f>
        <v>150</v>
      </c>
    </row>
    <row r="19" customFormat="false" ht="21.75" hidden="false" customHeight="true" outlineLevel="0" collapsed="false">
      <c r="A19" s="21" t="s">
        <v>130</v>
      </c>
      <c r="B19" s="28" t="n">
        <f aca="false">INDEX('Species Database'!$E$5:$E$9,MATCH($B$5,'Species Database'!$A$5:$A$9,0))</f>
        <v>1000</v>
      </c>
    </row>
    <row r="20" customFormat="false" ht="21.75" hidden="false" customHeight="true" outlineLevel="0" collapsed="false">
      <c r="A20" s="21" t="s">
        <v>131</v>
      </c>
      <c r="B20" s="28" t="n">
        <f aca="false">INDEX('Species Database'!$F$5:$F$9,MATCH($B$5,'Species Database'!$A$5:$A$9,0))</f>
        <v>1500</v>
      </c>
    </row>
    <row r="21" customFormat="false" ht="21.75" hidden="false" customHeight="true" outlineLevel="0" collapsed="false">
      <c r="A21" s="21" t="s">
        <v>132</v>
      </c>
      <c r="B21" s="26" t="n">
        <f aca="false">INDEX('Species Database'!$G$5:$G$9,MATCH($B$5,'Species Database'!$A$5:$A$9,0))</f>
        <v>240</v>
      </c>
    </row>
    <row r="22" customFormat="false" ht="21.75" hidden="false" customHeight="true" outlineLevel="0" collapsed="false">
      <c r="A22" s="21" t="s">
        <v>133</v>
      </c>
      <c r="B22" s="29" t="n">
        <f aca="false">INDEX('Species Database'!$H$5:$H$9,MATCH($B$5,'Species Database'!$A$5:$A$9,0))</f>
        <v>0.8</v>
      </c>
    </row>
    <row r="23" customFormat="false" ht="21.75" hidden="false" customHeight="true" outlineLevel="0" collapsed="false">
      <c r="A23" s="21" t="s">
        <v>134</v>
      </c>
      <c r="B23" s="9" t="b">
        <f aca="false">INDEX('Species Database'!$I$5:$I$9,MATCH($B$5,'Species Database'!$A$5:$A$9,0))</f>
        <v>0</v>
      </c>
    </row>
    <row r="24" customFormat="false" ht="21.75" hidden="false" customHeight="true" outlineLevel="0" collapsed="false">
      <c r="A24" s="21" t="s">
        <v>135</v>
      </c>
      <c r="B24" s="28" t="n">
        <f aca="false">INDEX('Species Database'!$J$5:$J$9,MATCH($B$5,'Species Database'!$A$5:$A$9,0))</f>
        <v>3</v>
      </c>
    </row>
    <row r="25" customFormat="false" ht="21.75" hidden="false" customHeight="true" outlineLevel="0" collapsed="false">
      <c r="A25" s="21" t="s">
        <v>136</v>
      </c>
      <c r="B25" s="28" t="n">
        <f aca="false">INDEX('Species Database'!$K$5:$K$9,MATCH($B$5,'Species Database'!$A$5:$A$9,0))</f>
        <v>2.5</v>
      </c>
    </row>
    <row r="26" customFormat="false" ht="21.75" hidden="false" customHeight="true" outlineLevel="0" collapsed="false">
      <c r="A26" s="21" t="s">
        <v>137</v>
      </c>
      <c r="B26" s="28" t="n">
        <f aca="false">INDEX('Species Database'!$L$5:$L$9,MATCH($B$5,'Species Database'!$A$5:$A$9,0))</f>
        <v>0.615</v>
      </c>
    </row>
    <row r="27" customFormat="false" ht="21.75" hidden="false" customHeight="true" outlineLevel="0" collapsed="false">
      <c r="A27" s="21" t="s">
        <v>138</v>
      </c>
      <c r="B27" s="30" t="n">
        <f aca="false">INDEX('Species Database'!$M$5:$M$9,MATCH($B$5,'Species Database'!$A$5:$A$9,0))</f>
        <v>0.3925</v>
      </c>
    </row>
    <row r="28" customFormat="false" ht="21.75" hidden="false" customHeight="true" outlineLevel="0" collapsed="false">
      <c r="A28" s="21" t="s">
        <v>139</v>
      </c>
      <c r="B28" s="30" t="n">
        <f aca="false">INDEX('Species Database'!$N$5:$N$9,MATCH($B$5,'Species Database'!$A$5:$A$9,0))</f>
        <v>0.038928</v>
      </c>
    </row>
    <row r="29" customFormat="false" ht="15" hidden="false" customHeight="true" outlineLevel="0" collapsed="false">
      <c r="A29" s="1" t="s">
        <v>140</v>
      </c>
      <c r="B29" s="31"/>
      <c r="C29" s="1" t="s">
        <v>141</v>
      </c>
      <c r="D29" s="1" t="s">
        <v>142</v>
      </c>
    </row>
    <row r="30" customFormat="false" ht="21.75" hidden="false" customHeight="true" outlineLevel="0" collapsed="false">
      <c r="A30" s="21" t="s">
        <v>143</v>
      </c>
      <c r="B30" s="28" t="n">
        <f aca="false">IF($B$13="",B24,$B$13)</f>
        <v>3</v>
      </c>
    </row>
    <row r="31" customFormat="false" ht="21.75" hidden="false" customHeight="true" outlineLevel="0" collapsed="false">
      <c r="A31" s="21" t="s">
        <v>144</v>
      </c>
      <c r="B31" s="32" t="n">
        <f aca="false">B25</f>
        <v>2.5</v>
      </c>
      <c r="C31" s="33" t="s">
        <v>145</v>
      </c>
    </row>
    <row r="32" customFormat="false" ht="15" hidden="false" customHeight="true" outlineLevel="0" collapsed="false">
      <c r="A32" s="1" t="s">
        <v>146</v>
      </c>
      <c r="B32" s="34" t="s">
        <v>147</v>
      </c>
      <c r="C32" s="1" t="s">
        <v>148</v>
      </c>
      <c r="D32" s="1" t="s">
        <v>149</v>
      </c>
    </row>
    <row r="33" customFormat="false" ht="19.5" hidden="false" customHeight="true" outlineLevel="0" collapsed="false">
      <c r="A33" s="19" t="s">
        <v>150</v>
      </c>
      <c r="B33" s="20"/>
      <c r="C33" s="20"/>
      <c r="D33" s="20"/>
    </row>
    <row r="34" customFormat="false" ht="21.75" hidden="false" customHeight="true" outlineLevel="0" collapsed="false">
      <c r="A34" s="35" t="s">
        <v>151</v>
      </c>
      <c r="B34" s="36" t="n">
        <f aca="false">'Harvest Schedule'!B15</f>
        <v>8777.42262948368</v>
      </c>
      <c r="C34" s="37" t="s">
        <v>141</v>
      </c>
    </row>
    <row r="35" customFormat="false" ht="21.75" hidden="false" customHeight="true" outlineLevel="0" collapsed="false">
      <c r="A35" s="35" t="s">
        <v>152</v>
      </c>
      <c r="B35" s="36" t="n">
        <f aca="false">'Growth &amp; Feed Model'!B25</f>
        <v>20800.2666160319</v>
      </c>
      <c r="C35" s="37" t="s">
        <v>141</v>
      </c>
    </row>
    <row r="36" customFormat="false" ht="21.75" hidden="false" customHeight="true" outlineLevel="0" collapsed="false">
      <c r="A36" s="35" t="s">
        <v>153</v>
      </c>
      <c r="B36" s="36" t="n">
        <f aca="false">'Economics Module'!B22</f>
        <v>936011.997721437</v>
      </c>
      <c r="C36" s="37" t="s">
        <v>154</v>
      </c>
    </row>
    <row r="37" customFormat="false" ht="21.75" hidden="false" customHeight="true" outlineLevel="0" collapsed="false">
      <c r="A37" s="35" t="s">
        <v>155</v>
      </c>
      <c r="B37" s="36" t="n">
        <f aca="false">'Feed Emission Model'!B16</f>
        <v>8164.10464679254</v>
      </c>
      <c r="C37" s="37" t="s">
        <v>156</v>
      </c>
    </row>
    <row r="38" customFormat="false" ht="21.75" hidden="false" customHeight="true" outlineLevel="0" collapsed="false">
      <c r="A38" s="35" t="s">
        <v>157</v>
      </c>
      <c r="B38" s="36" t="n">
        <f aca="false">'Feed Emission Model'!B17</f>
        <v>1796.10302229436</v>
      </c>
      <c r="C38" s="37" t="s">
        <v>156</v>
      </c>
    </row>
    <row r="39" customFormat="false" ht="21.75" hidden="false" customHeight="true" outlineLevel="0" collapsed="false">
      <c r="A39" s="35" t="s">
        <v>158</v>
      </c>
      <c r="B39" s="36" t="n">
        <f aca="false">'Feed Emission Model'!B18</f>
        <v>6368.00162449818</v>
      </c>
      <c r="C39" s="37" t="s">
        <v>156</v>
      </c>
    </row>
    <row r="40" customFormat="false" ht="21.75" hidden="false" customHeight="true" outlineLevel="0" collapsed="false">
      <c r="A40" s="35" t="s">
        <v>159</v>
      </c>
      <c r="B40" s="38" t="n">
        <f aca="false">'Pond Emission Model'!B24</f>
        <v>35.6608090971898</v>
      </c>
      <c r="C40" s="37" t="s">
        <v>160</v>
      </c>
    </row>
    <row r="41" customFormat="false" ht="21.75" hidden="false" customHeight="true" outlineLevel="0" collapsed="false">
      <c r="A41" s="35" t="s">
        <v>161</v>
      </c>
      <c r="B41" s="38" t="n">
        <f aca="false">'Pond Emission Model'!B29</f>
        <v>2.02312521453104</v>
      </c>
      <c r="C41" s="37" t="s">
        <v>160</v>
      </c>
    </row>
    <row r="42" customFormat="false" ht="21.75" hidden="false" customHeight="true" outlineLevel="0" collapsed="false">
      <c r="A42" s="35" t="s">
        <v>162</v>
      </c>
      <c r="B42" s="36" t="n">
        <f aca="false">'Economics Module'!B23</f>
        <v>3500</v>
      </c>
      <c r="C42" s="37" t="s">
        <v>154</v>
      </c>
    </row>
    <row r="43" customFormat="false" ht="21.75" hidden="false" customHeight="true" outlineLevel="0" collapsed="false">
      <c r="A43" s="35" t="s">
        <v>163</v>
      </c>
      <c r="B43" s="36" t="n">
        <f aca="false">'Economics Module'!B24</f>
        <v>64400</v>
      </c>
      <c r="C43" s="37" t="s">
        <v>154</v>
      </c>
    </row>
    <row r="44" customFormat="false" ht="21.75" hidden="false" customHeight="true" outlineLevel="0" collapsed="false">
      <c r="A44" s="35" t="s">
        <v>164</v>
      </c>
      <c r="B44" s="38" t="n">
        <f aca="false">'Energy Module'!B30</f>
        <v>2.455</v>
      </c>
      <c r="C44" s="37" t="s">
        <v>160</v>
      </c>
    </row>
    <row r="45" customFormat="false" ht="21.75" hidden="false" customHeight="true" outlineLevel="0" collapsed="false">
      <c r="A45" s="35" t="s">
        <v>165</v>
      </c>
      <c r="B45" s="38" t="n">
        <f aca="false">'Carbon Accounting'!B10</f>
        <v>52.9950982805805</v>
      </c>
      <c r="C45" s="37" t="s">
        <v>160</v>
      </c>
    </row>
    <row r="46" customFormat="false" ht="21.75" hidden="false" customHeight="true" outlineLevel="0" collapsed="false">
      <c r="A46" s="35" t="s">
        <v>166</v>
      </c>
      <c r="B46" s="38" t="n">
        <f aca="false">'Carbon Accounting'!B18</f>
        <v>50.4203876425986</v>
      </c>
      <c r="C46" s="37" t="s">
        <v>160</v>
      </c>
    </row>
    <row r="47" customFormat="false" ht="21.75" hidden="false" customHeight="true" outlineLevel="0" collapsed="false">
      <c r="A47" s="35" t="s">
        <v>167</v>
      </c>
      <c r="B47" s="39" t="n">
        <f aca="false">'Carbon Accounting'!B20</f>
        <v>5.74432720981609</v>
      </c>
      <c r="C47" s="37" t="s">
        <v>168</v>
      </c>
    </row>
    <row r="48" customFormat="false" ht="21.75" hidden="false" customHeight="true" outlineLevel="0" collapsed="false">
      <c r="A48" s="35" t="s">
        <v>169</v>
      </c>
      <c r="B48" s="38" t="n">
        <f aca="false">'Carbon Reduction Summary'!B9</f>
        <v>27.9336777735184</v>
      </c>
      <c r="C48" s="37" t="s">
        <v>170</v>
      </c>
    </row>
    <row r="49" customFormat="false" ht="21.75" hidden="false" customHeight="true" outlineLevel="0" collapsed="false">
      <c r="A49" s="35" t="s">
        <v>171</v>
      </c>
      <c r="B49" s="38" t="n">
        <f aca="false">'Carbon Reduction Summary'!B11</f>
        <v>27.9336777735184</v>
      </c>
      <c r="C49" s="37" t="s">
        <v>172</v>
      </c>
    </row>
    <row r="50" customFormat="false" ht="21.75" hidden="false" customHeight="true" outlineLevel="0" collapsed="false">
      <c r="A50" s="35" t="s">
        <v>173</v>
      </c>
      <c r="B50" s="36" t="n">
        <f aca="false">'Economics Module'!B30</f>
        <v>10277.9441114408</v>
      </c>
      <c r="C50" s="37" t="s">
        <v>154</v>
      </c>
    </row>
    <row r="52" customFormat="false" ht="15" hidden="false" customHeight="true" outlineLevel="0" collapsed="false">
      <c r="A52" s="40" t="s">
        <v>174</v>
      </c>
      <c r="B52" s="40"/>
      <c r="C52" s="40"/>
      <c r="D52" s="40"/>
    </row>
    <row r="53" customFormat="false" ht="15" hidden="false" customHeight="true" outlineLevel="0" collapsed="false">
      <c r="A53" s="19" t="s">
        <v>175</v>
      </c>
      <c r="B53" s="41" t="n">
        <v>16.5</v>
      </c>
      <c r="C53" s="19" t="s">
        <v>176</v>
      </c>
      <c r="D53" s="19" t="s">
        <v>177</v>
      </c>
    </row>
    <row r="54" customFormat="false" ht="15" hidden="false" customHeight="true" outlineLevel="0" collapsed="false">
      <c r="A54" s="19" t="s">
        <v>178</v>
      </c>
      <c r="B54" s="42"/>
      <c r="C54" s="19" t="s">
        <v>179</v>
      </c>
      <c r="D54" s="19" t="s">
        <v>180</v>
      </c>
    </row>
    <row r="55" customFormat="false" ht="15" hidden="false" customHeight="true" outlineLevel="0" collapsed="false">
      <c r="A55" s="19" t="s">
        <v>181</v>
      </c>
      <c r="B55" s="42"/>
      <c r="C55" s="19" t="s">
        <v>179</v>
      </c>
      <c r="D55" s="19" t="s">
        <v>180</v>
      </c>
    </row>
    <row r="56" customFormat="false" ht="15" hidden="false" customHeight="true" outlineLevel="0" collapsed="false">
      <c r="A56" s="19" t="s">
        <v>182</v>
      </c>
      <c r="B56" s="43" t="n">
        <f aca="false">'MRV Engine'!$M$2</f>
        <v>1</v>
      </c>
      <c r="C56" s="19" t="s">
        <v>183</v>
      </c>
      <c r="D56" s="19" t="s">
        <v>184</v>
      </c>
    </row>
    <row r="57" customFormat="false" ht="15" hidden="false" customHeight="true" outlineLevel="0" collapsed="false">
      <c r="A57" s="19" t="s">
        <v>185</v>
      </c>
      <c r="B57" s="44" t="str">
        <f aca="false">'MRV Engine'!$M$3</f>
        <v>DEFAULT</v>
      </c>
      <c r="C57" s="19" t="s">
        <v>186</v>
      </c>
      <c r="D57" s="19" t="s">
        <v>187</v>
      </c>
    </row>
    <row r="58" customFormat="false" ht="15" hidden="false" customHeight="true" outlineLevel="0" collapsed="false">
      <c r="A58" s="19"/>
      <c r="B58" s="19"/>
      <c r="C58" s="19"/>
      <c r="D58" s="19"/>
    </row>
    <row r="59" customFormat="false" ht="15" hidden="false" customHeight="true" outlineLevel="0" collapsed="false">
      <c r="A59" s="40" t="s">
        <v>188</v>
      </c>
      <c r="B59" s="40"/>
      <c r="C59" s="40"/>
      <c r="D59" s="40"/>
    </row>
    <row r="60" customFormat="false" ht="15" hidden="false" customHeight="true" outlineLevel="0" collapsed="false">
      <c r="A60" s="19" t="s">
        <v>189</v>
      </c>
      <c r="B60" s="45" t="str">
        <f aca="false">IF(COUNTIF($B$61:$B$70,"ERROR*")&gt;0,"MRV STATUS: FAIL",IF(COUNTIF($B$61:$B$70,"REVIEW*")&gt;0,"MRV STATUS: REVIEW","MRV STATUS: PASS"))</f>
        <v>MRV STATUS: REVIEW</v>
      </c>
      <c r="C60" s="19" t="s">
        <v>186</v>
      </c>
      <c r="D60" s="19" t="s">
        <v>190</v>
      </c>
    </row>
    <row r="61" customFormat="false" ht="27.75" hidden="false" customHeight="true" outlineLevel="0" collapsed="false">
      <c r="A61" s="19" t="s">
        <v>191</v>
      </c>
      <c r="B61" s="44" t="str">
        <f aca="false">IF(AND($B$54&lt;&gt;"",$B$55&lt;&gt;"",$B$55&gt;$B$54),"OK","REVIEW: CROP DATES MISSING/INVALID")</f>
        <v>REVIEW: CROP DATES MISSING/INVALID</v>
      </c>
      <c r="C61" s="19" t="s">
        <v>186</v>
      </c>
      <c r="D61" s="19"/>
    </row>
    <row r="62" customFormat="false" ht="15" hidden="false" customHeight="true" outlineLevel="0" collapsed="false">
      <c r="A62" s="19" t="s">
        <v>192</v>
      </c>
      <c r="B62" s="44" t="str">
        <f aca="false">IF(AND($B$53&gt;=6,$B$53&lt;=37.5),"OK","ERROR: LATITUDE OUT OF INDIA RANGE")</f>
        <v>OK</v>
      </c>
      <c r="C62" s="19" t="s">
        <v>186</v>
      </c>
      <c r="D62" s="19"/>
    </row>
    <row r="63" customFormat="false" ht="15" hidden="false" customHeight="true" outlineLevel="0" collapsed="false">
      <c r="A63" s="1" t="s">
        <v>193</v>
      </c>
      <c r="B63" s="44" t="str">
        <f aca="false">IF(AND($B$5="IMC",'Energy Module'!$B$9=0,'Energy Module'!$B$10=0,'Energy Module'!$B$11=0,'Energy Module'!$B$12=0),"OK",IF($B$5="IMC","ERROR: IMC AERATION ≠ ZERO","OK"))</f>
        <v>OK</v>
      </c>
      <c r="C63" s="1" t="s">
        <v>186</v>
      </c>
    </row>
    <row r="64" customFormat="false" ht="15" hidden="false" customHeight="true" outlineLevel="0" collapsed="false">
      <c r="A64" s="1" t="s">
        <v>194</v>
      </c>
      <c r="B64" s="44" t="str">
        <f aca="false">IF(ABS('Feed Database'!$J$10-1)&lt;0.0001,"OK","ERROR: FEED MIX ≠ 100%")</f>
        <v>OK</v>
      </c>
      <c r="C64" s="1" t="s">
        <v>186</v>
      </c>
    </row>
    <row r="65" customFormat="false" ht="27.75" hidden="false" customHeight="true" outlineLevel="0" collapsed="false">
      <c r="A65" s="1" t="s">
        <v>195</v>
      </c>
      <c r="B65" s="44" t="str">
        <f aca="false">IF('Pond Emission Model'!$G$46&gt;=0.9,"OK",IF('Pond Emission Model'!$G$46&gt;=0.75,"REVIEW: WQ DATA 75–90%","REVIEW: WQ DATA &lt;75%"))</f>
        <v>REVIEW: WQ DATA &lt;75%</v>
      </c>
      <c r="C65" s="1" t="s">
        <v>186</v>
      </c>
    </row>
    <row r="66" customFormat="false" ht="15" hidden="false" customHeight="true" outlineLevel="0" collapsed="false">
      <c r="A66" s="1" t="s">
        <v>196</v>
      </c>
      <c r="B66" s="44" t="str">
        <f aca="false">IF('Harvest Schedule'!$B$15&lt;='Growth &amp; Feed Model'!$B$7*'Growth &amp; Feed Model'!$B$9/1000*1.05,"OK","ERROR: HARVEST EXCEEDS THEORETICAL BIOMASS")</f>
        <v>OK</v>
      </c>
      <c r="C66" s="1" t="s">
        <v>186</v>
      </c>
    </row>
    <row r="67" customFormat="false" ht="15" hidden="false" customHeight="true" outlineLevel="0" collapsed="false">
      <c r="A67" s="1" t="s">
        <v>197</v>
      </c>
      <c r="B67" s="44" t="str">
        <f aca="false">IF(ABS('Feed Emission Model'!$B$16-'Feed Emission Model'!$B$17-'Feed Emission Model'!$B$18)&lt;=MAX(0.5,'Feed Emission Model'!$B$16*0.02),"OK","ERROR: FEED C MASS BALANCE")</f>
        <v>OK</v>
      </c>
      <c r="C67" s="1" t="s">
        <v>186</v>
      </c>
    </row>
    <row r="68" customFormat="false" ht="15" hidden="false" customHeight="true" outlineLevel="0" collapsed="false">
      <c r="A68" s="1" t="s">
        <v>198</v>
      </c>
      <c r="B68" s="44" t="str">
        <f aca="false">IF(ABS('Feed Emission Model'!$B$19-'Feed Emission Model'!$B$20-'Feed Emission Model'!$B$21)&lt;=MAX(0.5,'Feed Emission Model'!$B$19*0.02),"OK","ERROR: FEED N MASS BALANCE")</f>
        <v>OK</v>
      </c>
      <c r="C68" s="1" t="s">
        <v>186</v>
      </c>
    </row>
    <row r="69" customFormat="false" ht="41.25" hidden="false" customHeight="true" outlineLevel="0" collapsed="false">
      <c r="A69" s="1" t="s">
        <v>199</v>
      </c>
      <c r="B69" s="44" t="str">
        <f aca="false">IF(AND(COUNTIF('Carbon Accounting'!$G$39:$G$60,"Pre-Stocking")&gt;=1,COUNTIF('Carbon Accounting'!$G$39:$G$60,"Post-Harvest")&gt;=1),"OK","REVIEW: SOC PRE/POST TEST REQUIRED")</f>
        <v>REVIEW: SOC PRE/POST TEST REQUIRED</v>
      </c>
      <c r="C69" s="1" t="s">
        <v>186</v>
      </c>
    </row>
    <row r="70" customFormat="false" ht="41.25" hidden="false" customHeight="true" outlineLevel="0" collapsed="false">
      <c r="A70" s="1" t="s">
        <v>200</v>
      </c>
      <c r="B70" s="44" t="str">
        <f aca="false">IF($B$29&lt;&gt;"","OK","REVIEW: ACTUAL FEED RECORD NOT ENTERED")</f>
        <v>REVIEW: ACTUAL FEED RECORD NOT ENTERED</v>
      </c>
      <c r="C70" s="1" t="s">
        <v>186</v>
      </c>
    </row>
  </sheetData>
  <mergeCells count="3">
    <mergeCell ref="A1:D1"/>
    <mergeCell ref="A2:D2"/>
    <mergeCell ref="A3:D3"/>
  </mergeCells>
  <conditionalFormatting sqref="B60">
    <cfRule type="expression" priority="2" aboveAverage="0" equalAverage="0" bottom="0" percent="0" rank="0" text="" dxfId="0">
      <formula>ISNUMBER(SEARCH("FAIL",B60))</formula>
    </cfRule>
    <cfRule type="expression" priority="3" aboveAverage="0" equalAverage="0" bottom="0" percent="0" rank="0" text="" dxfId="1">
      <formula>ISNUMBER(SEARCH("REVIEW",B60))</formula>
    </cfRule>
  </conditionalFormatting>
  <dataValidations count="5">
    <dataValidation allowBlank="false" errorStyle="stop" operator="between" showDropDown="false" showErrorMessage="false" showInputMessage="false" sqref="B14" type="list">
      <formula1>"AR5,AR6"</formula1>
      <formula2>0</formula2>
    </dataValidation>
    <dataValidation allowBlank="true" error="Please select a valid value." errorStyle="stop" errorTitle="Invalid value" operator="between" prompt="Select Yes or No" promptTitle="Select value" showDropDown="false" showErrorMessage="true" showInputMessage="true" sqref="B32" type="list">
      <formula1>"Yes,No"</formula1>
      <formula2>0</formula2>
    </dataValidation>
    <dataValidation allowBlank="true" error="Enter latitude between 6 and 37.5 degrees North." errorStyle="stop" errorTitle="Invalid latitude" operator="between" showDropDown="false" showErrorMessage="true" showInputMessage="false" sqref="B53" type="decimal">
      <formula1>6</formula1>
      <formula2>37.5</formula2>
    </dataValidation>
    <dataValidation allowBlank="true" error="Enter a valid farm date." errorStyle="stop" operator="between" showDropDown="false" showErrorMessage="true" showInputMessage="false" sqref="B54" type="custom">
      <formula1>AND(B54&gt;=DATE(2020,1,1),B54&lt;=DATE(2100,12,31))</formula1>
      <formula2>0</formula2>
    </dataValidation>
    <dataValidation allowBlank="true" error="Enter a valid farm date." errorStyle="stop" operator="between" showDropDown="false" showErrorMessage="true" showInputMessage="false" sqref="B55" type="custom">
      <formula1>AND(B55&gt;=DATE(2020,1,1),B55&lt;=DATE(2100,12,31))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16.01"/>
    <col collapsed="false" customWidth="true" hidden="false" outlineLevel="0" max="2" min="2" style="1" width="20.05"/>
    <col collapsed="false" customWidth="true" hidden="false" outlineLevel="0" max="3" min="3" style="1" width="14.93"/>
    <col collapsed="false" customWidth="true" hidden="false" outlineLevel="0" max="4" min="4" style="1" width="13.99"/>
    <col collapsed="false" customWidth="true" hidden="false" outlineLevel="0" max="5" min="5" style="1" width="14.93"/>
    <col collapsed="false" customWidth="true" hidden="false" outlineLevel="0" max="6" min="6" style="1" width="13.99"/>
    <col collapsed="false" customWidth="true" hidden="false" outlineLevel="0" max="7" min="7" style="1" width="13.03"/>
    <col collapsed="false" customWidth="true" hidden="false" outlineLevel="0" max="9" min="8" style="1" width="11.03"/>
    <col collapsed="false" customWidth="true" hidden="false" outlineLevel="0" max="10" min="10" style="1" width="11.97"/>
    <col collapsed="false" customWidth="true" hidden="false" outlineLevel="0" max="11" min="11" style="1" width="13.99"/>
    <col collapsed="false" customWidth="true" hidden="false" outlineLevel="0" max="12" min="12" style="1" width="13.03"/>
    <col collapsed="false" customWidth="true" hidden="false" outlineLevel="0" max="14" min="13" style="1" width="11.97"/>
    <col collapsed="false" customWidth="true" hidden="false" outlineLevel="0" max="15" min="15" style="1" width="34.03"/>
  </cols>
  <sheetData>
    <row r="1" customFormat="false" ht="17.25" hidden="false" customHeight="true" outlineLevel="0" collapsed="false">
      <c r="A1" s="46" t="s">
        <v>43</v>
      </c>
      <c r="B1" s="46"/>
      <c r="C1" s="46"/>
      <c r="D1" s="46"/>
      <c r="E1" s="46"/>
      <c r="F1" s="46"/>
      <c r="G1" s="46"/>
      <c r="H1" s="46"/>
      <c r="I1" s="46"/>
      <c r="J1" s="46"/>
      <c r="K1" s="46"/>
      <c r="L1" s="46"/>
      <c r="M1" s="46"/>
      <c r="N1" s="46"/>
      <c r="O1" s="46"/>
    </row>
    <row r="2" customFormat="false" ht="15" hidden="false" customHeight="true" outlineLevel="0" collapsed="false">
      <c r="A2" s="17" t="s">
        <v>201</v>
      </c>
      <c r="B2" s="17"/>
      <c r="C2" s="17"/>
      <c r="D2" s="17"/>
      <c r="E2" s="17"/>
      <c r="F2" s="17"/>
      <c r="G2" s="17"/>
      <c r="H2" s="17"/>
      <c r="I2" s="17"/>
      <c r="J2" s="17"/>
      <c r="K2" s="17"/>
      <c r="L2" s="17"/>
      <c r="M2" s="17"/>
      <c r="N2" s="17"/>
      <c r="O2" s="17"/>
    </row>
    <row r="4" customFormat="false" ht="43.5" hidden="false" customHeight="true" outlineLevel="0" collapsed="false">
      <c r="A4" s="8" t="s">
        <v>98</v>
      </c>
      <c r="B4" s="8" t="s">
        <v>127</v>
      </c>
      <c r="C4" s="8" t="s">
        <v>202</v>
      </c>
      <c r="D4" s="8" t="s">
        <v>203</v>
      </c>
      <c r="E4" s="8" t="s">
        <v>204</v>
      </c>
      <c r="F4" s="8" t="s">
        <v>205</v>
      </c>
      <c r="G4" s="8" t="s">
        <v>206</v>
      </c>
      <c r="H4" s="8" t="s">
        <v>207</v>
      </c>
      <c r="I4" s="8" t="s">
        <v>208</v>
      </c>
      <c r="J4" s="8" t="s">
        <v>209</v>
      </c>
      <c r="K4" s="8" t="s">
        <v>210</v>
      </c>
      <c r="L4" s="8" t="s">
        <v>211</v>
      </c>
      <c r="M4" s="8" t="s">
        <v>212</v>
      </c>
      <c r="N4" s="8" t="s">
        <v>213</v>
      </c>
      <c r="O4" s="8" t="s">
        <v>214</v>
      </c>
      <c r="P4" s="40" t="s">
        <v>215</v>
      </c>
      <c r="Q4" s="40" t="s">
        <v>216</v>
      </c>
      <c r="R4" s="40" t="s">
        <v>217</v>
      </c>
    </row>
    <row r="5" customFormat="false" ht="39.75" hidden="false" customHeight="true" outlineLevel="0" collapsed="false">
      <c r="A5" s="47" t="s">
        <v>99</v>
      </c>
      <c r="B5" s="47" t="s">
        <v>218</v>
      </c>
      <c r="C5" s="48" t="n">
        <v>6250</v>
      </c>
      <c r="D5" s="48" t="n">
        <v>150</v>
      </c>
      <c r="E5" s="48" t="n">
        <v>1000</v>
      </c>
      <c r="F5" s="48" t="n">
        <v>1500</v>
      </c>
      <c r="G5" s="48" t="n">
        <v>240</v>
      </c>
      <c r="H5" s="49" t="n">
        <v>0.8</v>
      </c>
      <c r="I5" s="50" t="b">
        <f aca="false">FALSE()</f>
        <v>0</v>
      </c>
      <c r="J5" s="32" t="n">
        <v>3</v>
      </c>
      <c r="K5" s="32" t="n">
        <v>2.5</v>
      </c>
      <c r="L5" s="32" t="n">
        <f aca="false">'Feed Database'!E47</f>
        <v>0.615</v>
      </c>
      <c r="M5" s="51" t="n">
        <f aca="false">'Feed Database'!C47</f>
        <v>0.3925</v>
      </c>
      <c r="N5" s="51" t="n">
        <f aca="false">'Feed Database'!D47</f>
        <v>0.038928</v>
      </c>
      <c r="O5" s="52" t="s">
        <v>219</v>
      </c>
      <c r="P5" s="1" t="s">
        <v>220</v>
      </c>
      <c r="Q5" s="1" t="n">
        <v>0</v>
      </c>
      <c r="R5" s="1" t="n">
        <v>0</v>
      </c>
    </row>
    <row r="6" customFormat="false" ht="39.75" hidden="false" customHeight="true" outlineLevel="0" collapsed="false">
      <c r="A6" s="47" t="s">
        <v>221</v>
      </c>
      <c r="B6" s="47" t="s">
        <v>222</v>
      </c>
      <c r="C6" s="48" t="n">
        <v>25000</v>
      </c>
      <c r="D6" s="48" t="n">
        <v>5</v>
      </c>
      <c r="E6" s="48"/>
      <c r="F6" s="48" t="n">
        <v>1000</v>
      </c>
      <c r="G6" s="48" t="n">
        <v>240</v>
      </c>
      <c r="H6" s="49" t="n">
        <v>0.85</v>
      </c>
      <c r="I6" s="50" t="s">
        <v>147</v>
      </c>
      <c r="J6" s="32" t="n">
        <v>1.6</v>
      </c>
      <c r="K6" s="32" t="n">
        <v>1.4</v>
      </c>
      <c r="L6" s="32" t="n">
        <f aca="false">'Feed Database'!E48</f>
        <v>1.81</v>
      </c>
      <c r="M6" s="51" t="n">
        <f aca="false">'Feed Database'!C48</f>
        <v>0.395</v>
      </c>
      <c r="N6" s="51" t="n">
        <f aca="false">'Feed Database'!D48</f>
        <v>0.04416</v>
      </c>
      <c r="O6" s="52" t="s">
        <v>223</v>
      </c>
      <c r="P6" s="1" t="s">
        <v>224</v>
      </c>
      <c r="Q6" s="1" t="n">
        <v>0</v>
      </c>
      <c r="R6" s="1" t="n">
        <v>0</v>
      </c>
    </row>
    <row r="7" customFormat="false" ht="39.75" hidden="false" customHeight="true" outlineLevel="0" collapsed="false">
      <c r="A7" s="47" t="s">
        <v>225</v>
      </c>
      <c r="B7" s="47" t="s">
        <v>222</v>
      </c>
      <c r="C7" s="48" t="n">
        <v>8000</v>
      </c>
      <c r="D7" s="48" t="n">
        <v>10</v>
      </c>
      <c r="E7" s="48"/>
      <c r="F7" s="48" t="n">
        <v>800</v>
      </c>
      <c r="G7" s="48" t="n">
        <v>240</v>
      </c>
      <c r="H7" s="49" t="n">
        <v>0.85</v>
      </c>
      <c r="I7" s="50" t="s">
        <v>226</v>
      </c>
      <c r="J7" s="32" t="n">
        <v>1.8</v>
      </c>
      <c r="K7" s="32" t="n">
        <v>1.55</v>
      </c>
      <c r="L7" s="32" t="n">
        <f aca="false">'Feed Database'!E49</f>
        <v>1.81</v>
      </c>
      <c r="M7" s="51" t="n">
        <f aca="false">'Feed Database'!C49</f>
        <v>0.395</v>
      </c>
      <c r="N7" s="51" t="n">
        <f aca="false">'Feed Database'!D49</f>
        <v>0.04512</v>
      </c>
      <c r="O7" s="52" t="s">
        <v>227</v>
      </c>
      <c r="P7" s="1" t="s">
        <v>224</v>
      </c>
      <c r="Q7" s="1" t="n">
        <v>0</v>
      </c>
      <c r="R7" s="1" t="n">
        <v>0</v>
      </c>
    </row>
    <row r="8" customFormat="false" ht="39.75" hidden="false" customHeight="true" outlineLevel="0" collapsed="false">
      <c r="A8" s="47" t="s">
        <v>228</v>
      </c>
      <c r="B8" s="47" t="s">
        <v>229</v>
      </c>
      <c r="C8" s="48" t="n">
        <v>400000</v>
      </c>
      <c r="D8" s="48" t="n">
        <v>0.005</v>
      </c>
      <c r="E8" s="48" t="n">
        <v>16.7</v>
      </c>
      <c r="F8" s="48" t="n">
        <v>33.3</v>
      </c>
      <c r="G8" s="48" t="n">
        <v>120</v>
      </c>
      <c r="H8" s="49" t="n">
        <v>0.75</v>
      </c>
      <c r="I8" s="50" t="s">
        <v>226</v>
      </c>
      <c r="J8" s="32" t="n">
        <v>1.5</v>
      </c>
      <c r="K8" s="32" t="n">
        <v>1.35</v>
      </c>
      <c r="L8" s="32" t="n">
        <f aca="false">'Feed Database'!E50</f>
        <v>2.46</v>
      </c>
      <c r="M8" s="51" t="n">
        <f aca="false">'Feed Database'!C50</f>
        <v>0.391</v>
      </c>
      <c r="N8" s="51" t="n">
        <f aca="false">'Feed Database'!D50</f>
        <v>0.05536</v>
      </c>
      <c r="O8" s="52" t="s">
        <v>230</v>
      </c>
      <c r="P8" s="1" t="s">
        <v>224</v>
      </c>
      <c r="Q8" s="1" t="n">
        <v>0</v>
      </c>
      <c r="R8" s="1" t="n">
        <v>0</v>
      </c>
    </row>
    <row r="9" customFormat="false" ht="39.75" hidden="false" customHeight="true" outlineLevel="0" collapsed="false">
      <c r="A9" s="47" t="s">
        <v>231</v>
      </c>
      <c r="B9" s="47" t="s">
        <v>229</v>
      </c>
      <c r="C9" s="48" t="n">
        <v>150000</v>
      </c>
      <c r="D9" s="48" t="n">
        <v>0.01</v>
      </c>
      <c r="E9" s="48" t="n">
        <v>33.3</v>
      </c>
      <c r="F9" s="48" t="n">
        <v>66.7</v>
      </c>
      <c r="G9" s="48" t="n">
        <v>150</v>
      </c>
      <c r="H9" s="49" t="n">
        <v>0.7</v>
      </c>
      <c r="I9" s="50" t="s">
        <v>226</v>
      </c>
      <c r="J9" s="32" t="n">
        <v>1.7</v>
      </c>
      <c r="K9" s="32" t="n">
        <v>1.5</v>
      </c>
      <c r="L9" s="32" t="n">
        <f aca="false">'Feed Database'!E51</f>
        <v>2.43</v>
      </c>
      <c r="M9" s="51" t="n">
        <f aca="false">'Feed Database'!C51</f>
        <v>0.3915</v>
      </c>
      <c r="N9" s="51" t="n">
        <f aca="false">'Feed Database'!D51</f>
        <v>0.05488</v>
      </c>
      <c r="O9" s="52" t="s">
        <v>232</v>
      </c>
      <c r="P9" s="1" t="s">
        <v>224</v>
      </c>
      <c r="Q9" s="1" t="n">
        <v>0</v>
      </c>
      <c r="R9" s="1" t="n">
        <v>0</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22.06"/>
    <col collapsed="false" customWidth="true" hidden="false" outlineLevel="0" max="2" min="2" style="1" width="11.97"/>
    <col collapsed="false" customWidth="true" hidden="false" outlineLevel="0" max="4" min="3" style="1" width="9.94"/>
    <col collapsed="false" customWidth="true" hidden="false" outlineLevel="0" max="5" min="5" style="1" width="11.97"/>
    <col collapsed="false" customWidth="true" hidden="false" outlineLevel="0" max="6" min="6" style="1" width="13.99"/>
    <col collapsed="false" customWidth="true" hidden="false" outlineLevel="0" max="7" min="7" style="1" width="16.01"/>
    <col collapsed="false" customWidth="true" hidden="false" outlineLevel="0" max="9" min="8" style="1" width="13.99"/>
    <col collapsed="false" customWidth="true" hidden="false" outlineLevel="0" max="10" min="10" style="1" width="18"/>
  </cols>
  <sheetData>
    <row r="1" customFormat="false" ht="17.25" hidden="false" customHeight="true" outlineLevel="0" collapsed="false">
      <c r="A1" s="46" t="s">
        <v>233</v>
      </c>
      <c r="B1" s="46"/>
      <c r="C1" s="46"/>
      <c r="D1" s="46"/>
      <c r="E1" s="46"/>
      <c r="F1" s="46"/>
      <c r="G1" s="46"/>
      <c r="H1" s="46"/>
      <c r="I1" s="46"/>
    </row>
    <row r="2" customFormat="false" ht="15" hidden="false" customHeight="true" outlineLevel="0" collapsed="false">
      <c r="A2" s="17" t="s">
        <v>234</v>
      </c>
      <c r="B2" s="17"/>
      <c r="C2" s="17"/>
      <c r="D2" s="17"/>
      <c r="E2" s="17"/>
      <c r="F2" s="17"/>
      <c r="G2" s="17"/>
      <c r="H2" s="17"/>
      <c r="I2" s="17"/>
    </row>
    <row r="4" customFormat="false" ht="15" hidden="false" customHeight="true" outlineLevel="0" collapsed="false">
      <c r="A4" s="53" t="s">
        <v>235</v>
      </c>
    </row>
    <row r="5" customFormat="false" ht="31.5" hidden="false" customHeight="true" outlineLevel="0" collapsed="false">
      <c r="A5" s="54" t="s">
        <v>236</v>
      </c>
      <c r="B5" s="54" t="s">
        <v>237</v>
      </c>
      <c r="C5" s="54" t="s">
        <v>238</v>
      </c>
      <c r="D5" s="54" t="s">
        <v>239</v>
      </c>
      <c r="E5" s="54" t="s">
        <v>240</v>
      </c>
      <c r="F5" s="54" t="s">
        <v>241</v>
      </c>
      <c r="G5" s="54" t="s">
        <v>242</v>
      </c>
      <c r="H5" s="54" t="s">
        <v>243</v>
      </c>
      <c r="I5" s="40" t="s">
        <v>244</v>
      </c>
      <c r="J5" s="40" t="s">
        <v>245</v>
      </c>
    </row>
    <row r="6" customFormat="false" ht="39.75" hidden="false" customHeight="true" outlineLevel="0" collapsed="false">
      <c r="A6" s="47" t="s">
        <v>246</v>
      </c>
      <c r="B6" s="55" t="n">
        <v>0.169</v>
      </c>
      <c r="C6" s="56" t="n">
        <v>0.015</v>
      </c>
      <c r="D6" s="55" t="n">
        <v>0.096</v>
      </c>
      <c r="E6" s="55" t="n">
        <v>0.38</v>
      </c>
      <c r="F6" s="51" t="n">
        <f aca="false">B6/6.25</f>
        <v>0.02704</v>
      </c>
      <c r="G6" s="57" t="n">
        <v>0.4</v>
      </c>
      <c r="H6" s="55" t="n">
        <v>0.7</v>
      </c>
      <c r="I6" s="31"/>
      <c r="J6" s="58" t="n">
        <f aca="false">IF(SUM($I$6:$I$9)=0,H6,I6/SUM($I$6:$I$9))</f>
        <v>0.7</v>
      </c>
    </row>
    <row r="7" customFormat="false" ht="21.75" hidden="false" customHeight="true" outlineLevel="0" collapsed="false">
      <c r="A7" s="47" t="s">
        <v>247</v>
      </c>
      <c r="B7" s="55" t="n">
        <v>0.45</v>
      </c>
      <c r="C7" s="56" t="n">
        <v>0.07</v>
      </c>
      <c r="D7" s="55" t="n">
        <v>0.06</v>
      </c>
      <c r="E7" s="55" t="n">
        <v>0.42</v>
      </c>
      <c r="F7" s="51" t="n">
        <f aca="false">B7/6.25</f>
        <v>0.072</v>
      </c>
      <c r="G7" s="57" t="n">
        <v>1.2</v>
      </c>
      <c r="H7" s="55" t="n">
        <v>0.15</v>
      </c>
      <c r="I7" s="31"/>
      <c r="J7" s="58" t="n">
        <f aca="false">IF(SUM($I$6:$I$9)=0,H7,I7/SUM($I$6:$I$9))</f>
        <v>0.15</v>
      </c>
    </row>
    <row r="8" customFormat="false" ht="21.75" hidden="false" customHeight="true" outlineLevel="0" collapsed="false">
      <c r="A8" s="47" t="s">
        <v>248</v>
      </c>
      <c r="B8" s="55" t="n">
        <v>0.44</v>
      </c>
      <c r="C8" s="56" t="n">
        <v>0.015</v>
      </c>
      <c r="D8" s="55" t="n">
        <v>0.07</v>
      </c>
      <c r="E8" s="55" t="n">
        <v>0.41</v>
      </c>
      <c r="F8" s="51" t="n">
        <f aca="false">B8/6.25</f>
        <v>0.0704</v>
      </c>
      <c r="G8" s="57" t="n">
        <v>1.1</v>
      </c>
      <c r="H8" s="55" t="n">
        <v>0.1</v>
      </c>
      <c r="I8" s="31"/>
      <c r="J8" s="58" t="n">
        <f aca="false">IF(SUM($I$6:$I$9)=0,H8,I8/SUM($I$6:$I$9))</f>
        <v>0.1</v>
      </c>
    </row>
    <row r="9" customFormat="false" ht="21.75" hidden="false" customHeight="true" outlineLevel="0" collapsed="false">
      <c r="A9" s="47" t="s">
        <v>249</v>
      </c>
      <c r="B9" s="55" t="n">
        <v>0.27</v>
      </c>
      <c r="C9" s="56" t="n">
        <v>0.1</v>
      </c>
      <c r="D9" s="55" t="n">
        <v>0.08</v>
      </c>
      <c r="E9" s="55" t="n">
        <v>0.45</v>
      </c>
      <c r="F9" s="51" t="n">
        <f aca="false">B9/6.25</f>
        <v>0.0432</v>
      </c>
      <c r="G9" s="57" t="n">
        <v>0.9</v>
      </c>
      <c r="H9" s="55" t="n">
        <v>0.05</v>
      </c>
      <c r="I9" s="31"/>
      <c r="J9" s="58" t="n">
        <f aca="false">IF(SUM($I$6:$I$9)=0,H9,I9/SUM($I$6:$I$9))</f>
        <v>0.05</v>
      </c>
    </row>
    <row r="10" customFormat="false" ht="15" hidden="false" customHeight="true" outlineLevel="0" collapsed="false">
      <c r="A10" s="33" t="s">
        <v>250</v>
      </c>
      <c r="H10" s="58" t="n">
        <f aca="false">SUM(H6:H9)</f>
        <v>1</v>
      </c>
      <c r="J10" s="58" t="n">
        <f aca="false">SUM(J6:J9)</f>
        <v>1</v>
      </c>
    </row>
    <row r="11" customFormat="false" ht="15" hidden="false" customHeight="true" outlineLevel="0" collapsed="false">
      <c r="A11" s="59" t="s">
        <v>251</v>
      </c>
      <c r="B11" s="43" t="n">
        <f aca="false">IFERROR(SUMPRODUCT($J$6:$J$9,$B$6:$B$9)/SUM($J$6:$J$9),"")</f>
        <v>0.2433</v>
      </c>
      <c r="E11" s="43" t="n">
        <f aca="false">IFERROR(SUMPRODUCT($J$6:$J$9,$E$6:$E$9)/SUM($J$6:$J$9),"")</f>
        <v>0.3925</v>
      </c>
      <c r="F11" s="43" t="n">
        <f aca="false">IFERROR(SUMPRODUCT($J$6:$J$9,$F$6:$F$9)/SUM($J$6:$J$9),"")</f>
        <v>0.038928</v>
      </c>
      <c r="G11" s="43" t="n">
        <f aca="false">IFERROR(SUMPRODUCT($J$6:$J$9,$G$6:$G$9)/SUM($J$6:$J$9),"")</f>
        <v>0.615</v>
      </c>
      <c r="I11" s="1" t="s">
        <v>252</v>
      </c>
      <c r="J11" s="44" t="str">
        <f aca="false">IF(SUM($I$6:$I$9)=0,"REFERENCE MIX","INVOICE-DERIVED")</f>
        <v>REFERENCE MIX</v>
      </c>
    </row>
    <row r="12" customFormat="false" ht="24" hidden="false" customHeight="true" outlineLevel="0" collapsed="false">
      <c r="A12" s="60" t="s">
        <v>253</v>
      </c>
      <c r="B12" s="60"/>
      <c r="C12" s="60"/>
      <c r="D12" s="60"/>
      <c r="E12" s="60"/>
      <c r="F12" s="60"/>
      <c r="G12" s="60"/>
      <c r="H12" s="60"/>
    </row>
    <row r="14" customFormat="false" ht="15" hidden="false" customHeight="true" outlineLevel="0" collapsed="false">
      <c r="A14" s="53" t="s">
        <v>254</v>
      </c>
    </row>
    <row r="15" customFormat="false" ht="31.5" hidden="false" customHeight="true" outlineLevel="0" collapsed="false">
      <c r="A15" s="54" t="s">
        <v>255</v>
      </c>
      <c r="B15" s="54" t="s">
        <v>237</v>
      </c>
      <c r="C15" s="54" t="s">
        <v>240</v>
      </c>
      <c r="D15" s="54" t="s">
        <v>241</v>
      </c>
      <c r="E15" s="54" t="s">
        <v>242</v>
      </c>
      <c r="F15" s="54" t="s">
        <v>256</v>
      </c>
    </row>
    <row r="16" customFormat="false" ht="21.75" hidden="false" customHeight="true" outlineLevel="0" collapsed="false">
      <c r="A16" s="47" t="s">
        <v>257</v>
      </c>
      <c r="B16" s="55" t="n">
        <v>0.3</v>
      </c>
      <c r="C16" s="55" t="n">
        <v>0.4</v>
      </c>
      <c r="D16" s="51" t="n">
        <f aca="false">B16/6.25</f>
        <v>0.048</v>
      </c>
      <c r="E16" s="57" t="n">
        <v>2</v>
      </c>
      <c r="F16" s="55" t="n">
        <v>0.3</v>
      </c>
    </row>
    <row r="17" customFormat="false" ht="21.75" hidden="false" customHeight="true" outlineLevel="0" collapsed="false">
      <c r="A17" s="47" t="s">
        <v>258</v>
      </c>
      <c r="B17" s="55" t="n">
        <v>0.28</v>
      </c>
      <c r="C17" s="55" t="n">
        <v>0.4</v>
      </c>
      <c r="D17" s="51" t="n">
        <f aca="false">B17/6.25</f>
        <v>0.0448</v>
      </c>
      <c r="E17" s="57" t="n">
        <v>1.8</v>
      </c>
      <c r="F17" s="55" t="n">
        <v>0.45</v>
      </c>
    </row>
    <row r="18" customFormat="false" ht="21.75" hidden="false" customHeight="true" outlineLevel="0" collapsed="false">
      <c r="A18" s="47" t="s">
        <v>259</v>
      </c>
      <c r="B18" s="55" t="n">
        <v>0.24</v>
      </c>
      <c r="C18" s="55" t="n">
        <v>0.38</v>
      </c>
      <c r="D18" s="51" t="n">
        <f aca="false">B18/6.25</f>
        <v>0.0384</v>
      </c>
      <c r="E18" s="57" t="n">
        <v>1.6</v>
      </c>
      <c r="F18" s="55" t="n">
        <v>0.25</v>
      </c>
    </row>
    <row r="19" customFormat="false" ht="15" hidden="false" customHeight="true" outlineLevel="0" collapsed="false">
      <c r="A19" s="33" t="s">
        <v>250</v>
      </c>
      <c r="F19" s="49" t="n">
        <f aca="false">SUM(F16:F18)</f>
        <v>1</v>
      </c>
    </row>
    <row r="20" customFormat="false" ht="15" hidden="false" customHeight="true" outlineLevel="0" collapsed="false">
      <c r="A20" s="59" t="s">
        <v>260</v>
      </c>
      <c r="B20" s="61" t="n">
        <f aca="false">SUMPRODUCT(F16:F18,B16:B18)/SUM(F16:F18)</f>
        <v>0.276</v>
      </c>
      <c r="C20" s="61" t="n">
        <f aca="false">SUMPRODUCT(F16:F18,C16:C18)/SUM(F16:F18)</f>
        <v>0.395</v>
      </c>
      <c r="D20" s="62" t="n">
        <f aca="false">SUMPRODUCT(F16:F18,D16:D18)/SUM(F16:F18)</f>
        <v>0.04416</v>
      </c>
      <c r="E20" s="39" t="n">
        <f aca="false">SUMPRODUCT(F16:F18,E16:E18)/SUM(F16:F18)</f>
        <v>1.81</v>
      </c>
    </row>
    <row r="21" customFormat="false" ht="24" hidden="false" customHeight="true" outlineLevel="0" collapsed="false">
      <c r="A21" s="60" t="s">
        <v>261</v>
      </c>
      <c r="B21" s="60"/>
      <c r="C21" s="60"/>
      <c r="D21" s="60"/>
      <c r="E21" s="60"/>
      <c r="F21" s="60"/>
      <c r="G21" s="60"/>
    </row>
    <row r="23" customFormat="false" ht="15" hidden="false" customHeight="true" outlineLevel="0" collapsed="false">
      <c r="A23" s="53" t="s">
        <v>262</v>
      </c>
    </row>
    <row r="24" customFormat="false" ht="31.5" hidden="false" customHeight="true" outlineLevel="0" collapsed="false">
      <c r="A24" s="54" t="s">
        <v>255</v>
      </c>
      <c r="B24" s="54" t="s">
        <v>237</v>
      </c>
      <c r="C24" s="54" t="s">
        <v>240</v>
      </c>
      <c r="D24" s="54" t="s">
        <v>241</v>
      </c>
      <c r="E24" s="54" t="s">
        <v>242</v>
      </c>
      <c r="F24" s="54" t="s">
        <v>256</v>
      </c>
    </row>
    <row r="25" customFormat="false" ht="21.75" hidden="false" customHeight="true" outlineLevel="0" collapsed="false">
      <c r="A25" s="47" t="s">
        <v>257</v>
      </c>
      <c r="B25" s="55" t="n">
        <v>0.32</v>
      </c>
      <c r="C25" s="55" t="n">
        <v>0.4</v>
      </c>
      <c r="D25" s="51" t="n">
        <f aca="false">B25/6.25</f>
        <v>0.0512</v>
      </c>
      <c r="E25" s="57" t="n">
        <v>2</v>
      </c>
      <c r="F25" s="55" t="n">
        <v>0.3</v>
      </c>
    </row>
    <row r="26" customFormat="false" ht="21.75" hidden="false" customHeight="true" outlineLevel="0" collapsed="false">
      <c r="A26" s="47" t="s">
        <v>258</v>
      </c>
      <c r="B26" s="55" t="n">
        <v>0.28</v>
      </c>
      <c r="C26" s="55" t="n">
        <v>0.4</v>
      </c>
      <c r="D26" s="51" t="n">
        <f aca="false">B26/6.25</f>
        <v>0.0448</v>
      </c>
      <c r="E26" s="57" t="n">
        <v>1.8</v>
      </c>
      <c r="F26" s="55" t="n">
        <v>0.45</v>
      </c>
    </row>
    <row r="27" customFormat="false" ht="21.75" hidden="false" customHeight="true" outlineLevel="0" collapsed="false">
      <c r="A27" s="47" t="s">
        <v>259</v>
      </c>
      <c r="B27" s="55" t="n">
        <v>0.24</v>
      </c>
      <c r="C27" s="55" t="n">
        <v>0.38</v>
      </c>
      <c r="D27" s="51" t="n">
        <f aca="false">B27/6.25</f>
        <v>0.0384</v>
      </c>
      <c r="E27" s="57" t="n">
        <v>1.6</v>
      </c>
      <c r="F27" s="55" t="n">
        <v>0.25</v>
      </c>
    </row>
    <row r="28" customFormat="false" ht="15" hidden="false" customHeight="true" outlineLevel="0" collapsed="false">
      <c r="A28" s="33" t="s">
        <v>250</v>
      </c>
      <c r="F28" s="49" t="n">
        <f aca="false">SUM(F25:F27)</f>
        <v>1</v>
      </c>
    </row>
    <row r="29" customFormat="false" ht="15" hidden="false" customHeight="true" outlineLevel="0" collapsed="false">
      <c r="A29" s="59" t="s">
        <v>260</v>
      </c>
      <c r="B29" s="61" t="n">
        <f aca="false">SUMPRODUCT(F25:F27,B25:B27)/SUM(F25:F27)</f>
        <v>0.282</v>
      </c>
      <c r="C29" s="61" t="n">
        <f aca="false">SUMPRODUCT(F25:F27,C25:C27)/SUM(F25:F27)</f>
        <v>0.395</v>
      </c>
      <c r="D29" s="62" t="n">
        <f aca="false">SUMPRODUCT(F25:F27,D25:D27)/SUM(F25:F27)</f>
        <v>0.04512</v>
      </c>
      <c r="E29" s="39" t="n">
        <f aca="false">SUMPRODUCT(F25:F27,E25:E27)/SUM(F25:F27)</f>
        <v>1.81</v>
      </c>
    </row>
    <row r="30" customFormat="false" ht="24" hidden="false" customHeight="true" outlineLevel="0" collapsed="false">
      <c r="A30" s="60" t="s">
        <v>263</v>
      </c>
      <c r="B30" s="60"/>
      <c r="C30" s="60"/>
      <c r="D30" s="60"/>
      <c r="E30" s="60"/>
      <c r="F30" s="60"/>
      <c r="G30" s="60"/>
    </row>
    <row r="32" customFormat="false" ht="15" hidden="false" customHeight="true" outlineLevel="0" collapsed="false">
      <c r="A32" s="53" t="s">
        <v>264</v>
      </c>
    </row>
    <row r="33" customFormat="false" ht="31.5" hidden="false" customHeight="true" outlineLevel="0" collapsed="false">
      <c r="A33" s="54" t="s">
        <v>255</v>
      </c>
      <c r="B33" s="54" t="s">
        <v>237</v>
      </c>
      <c r="C33" s="54" t="s">
        <v>240</v>
      </c>
      <c r="D33" s="54" t="s">
        <v>241</v>
      </c>
      <c r="E33" s="54" t="s">
        <v>242</v>
      </c>
      <c r="F33" s="54" t="s">
        <v>265</v>
      </c>
      <c r="G33" s="54" t="s">
        <v>266</v>
      </c>
    </row>
    <row r="34" customFormat="false" ht="21.75" hidden="false" customHeight="true" outlineLevel="0" collapsed="false">
      <c r="A34" s="47" t="s">
        <v>267</v>
      </c>
      <c r="B34" s="55" t="n">
        <v>0.4</v>
      </c>
      <c r="C34" s="55" t="n">
        <v>0.38</v>
      </c>
      <c r="D34" s="51" t="n">
        <f aca="false">B34/6.25</f>
        <v>0.064</v>
      </c>
      <c r="E34" s="57" t="n">
        <v>3</v>
      </c>
      <c r="F34" s="55" t="n">
        <v>0.05</v>
      </c>
      <c r="G34" s="55" t="n">
        <v>0.05</v>
      </c>
    </row>
    <row r="35" customFormat="false" ht="21.75" hidden="false" customHeight="true" outlineLevel="0" collapsed="false">
      <c r="A35" s="47" t="s">
        <v>257</v>
      </c>
      <c r="B35" s="55" t="n">
        <v>0.38</v>
      </c>
      <c r="C35" s="55" t="n">
        <v>0.38</v>
      </c>
      <c r="D35" s="51" t="n">
        <f aca="false">B35/6.25</f>
        <v>0.0608</v>
      </c>
      <c r="E35" s="57" t="n">
        <v>2.8</v>
      </c>
      <c r="F35" s="55" t="n">
        <v>0.15</v>
      </c>
      <c r="G35" s="55" t="n">
        <v>0.15</v>
      </c>
    </row>
    <row r="36" customFormat="false" ht="21.75" hidden="false" customHeight="true" outlineLevel="0" collapsed="false">
      <c r="A36" s="47" t="s">
        <v>268</v>
      </c>
      <c r="B36" s="55" t="n">
        <v>0.36</v>
      </c>
      <c r="C36" s="55" t="n">
        <v>0.39</v>
      </c>
      <c r="D36" s="51" t="n">
        <f aca="false">B36/6.25</f>
        <v>0.0576</v>
      </c>
      <c r="E36" s="57" t="n">
        <v>2.6</v>
      </c>
      <c r="F36" s="55" t="n">
        <v>0.25</v>
      </c>
      <c r="G36" s="55" t="n">
        <v>0.2</v>
      </c>
    </row>
    <row r="37" customFormat="false" ht="21.75" hidden="false" customHeight="true" outlineLevel="0" collapsed="false">
      <c r="A37" s="47" t="s">
        <v>269</v>
      </c>
      <c r="B37" s="55" t="n">
        <v>0.34</v>
      </c>
      <c r="C37" s="55" t="n">
        <v>0.39</v>
      </c>
      <c r="D37" s="51" t="n">
        <f aca="false">B37/6.25</f>
        <v>0.0544</v>
      </c>
      <c r="E37" s="57" t="n">
        <v>2.4</v>
      </c>
      <c r="F37" s="55" t="n">
        <v>0.25</v>
      </c>
      <c r="G37" s="55" t="n">
        <v>0.25</v>
      </c>
    </row>
    <row r="38" customFormat="false" ht="21.75" hidden="false" customHeight="true" outlineLevel="0" collapsed="false">
      <c r="A38" s="47" t="s">
        <v>270</v>
      </c>
      <c r="B38" s="55" t="n">
        <v>0.32</v>
      </c>
      <c r="C38" s="55" t="n">
        <v>0.4</v>
      </c>
      <c r="D38" s="51" t="n">
        <f aca="false">B38/6.25</f>
        <v>0.0512</v>
      </c>
      <c r="E38" s="57" t="n">
        <v>2.2</v>
      </c>
      <c r="F38" s="55" t="n">
        <v>0.2</v>
      </c>
      <c r="G38" s="55" t="n">
        <v>0.2</v>
      </c>
    </row>
    <row r="39" customFormat="false" ht="21.75" hidden="false" customHeight="true" outlineLevel="0" collapsed="false">
      <c r="A39" s="47" t="s">
        <v>259</v>
      </c>
      <c r="B39" s="55" t="n">
        <v>0.3</v>
      </c>
      <c r="C39" s="55" t="n">
        <v>0.4</v>
      </c>
      <c r="D39" s="51" t="n">
        <f aca="false">B39/6.25</f>
        <v>0.048</v>
      </c>
      <c r="E39" s="57" t="n">
        <v>2</v>
      </c>
      <c r="F39" s="55" t="n">
        <v>0.1</v>
      </c>
      <c r="G39" s="55" t="n">
        <v>0.15</v>
      </c>
    </row>
    <row r="40" customFormat="false" ht="15" hidden="false" customHeight="true" outlineLevel="0" collapsed="false">
      <c r="A40" s="33" t="s">
        <v>250</v>
      </c>
      <c r="F40" s="49" t="n">
        <f aca="false">SUM(F34:F39)</f>
        <v>1</v>
      </c>
      <c r="G40" s="49" t="n">
        <f aca="false">SUM(G34:G39)</f>
        <v>1</v>
      </c>
    </row>
    <row r="41" customFormat="false" ht="15" hidden="false" customHeight="true" outlineLevel="0" collapsed="false">
      <c r="A41" s="59" t="s">
        <v>271</v>
      </c>
      <c r="B41" s="61" t="n">
        <f aca="false">SUMPRODUCT(F34:F39,B34:B39)/SUM(F34:F39)</f>
        <v>0.346</v>
      </c>
      <c r="C41" s="61" t="n">
        <f aca="false">SUMPRODUCT(F34:F39,C34:C39)/SUM(F34:F39)</f>
        <v>0.391</v>
      </c>
      <c r="D41" s="62" t="n">
        <f aca="false">SUMPRODUCT(F34:F39,D34:D39)/SUM(F34:F39)</f>
        <v>0.05536</v>
      </c>
      <c r="E41" s="39" t="n">
        <f aca="false">SUMPRODUCT(F34:F39,E34:E39)/SUM(F34:F39)</f>
        <v>2.46</v>
      </c>
    </row>
    <row r="42" customFormat="false" ht="15" hidden="false" customHeight="true" outlineLevel="0" collapsed="false">
      <c r="A42" s="59" t="s">
        <v>272</v>
      </c>
      <c r="B42" s="61" t="n">
        <f aca="false">SUMPRODUCT(G34:G39,B34:B39)/SUM(G34:G39)</f>
        <v>0.343</v>
      </c>
      <c r="C42" s="61" t="n">
        <f aca="false">SUMPRODUCT(G34:G39,C34:C39)/SUM(G34:G39)</f>
        <v>0.3915</v>
      </c>
      <c r="D42" s="62" t="n">
        <f aca="false">SUMPRODUCT(G34:G39,D34:D39)/SUM(G34:G39)</f>
        <v>0.05488</v>
      </c>
      <c r="E42" s="39" t="n">
        <f aca="false">SUMPRODUCT(G34:G39,E34:E39)/SUM(G34:G39)</f>
        <v>2.43</v>
      </c>
    </row>
    <row r="43" customFormat="false" ht="24" hidden="false" customHeight="true" outlineLevel="0" collapsed="false">
      <c r="A43" s="60" t="s">
        <v>273</v>
      </c>
      <c r="B43" s="60"/>
      <c r="C43" s="60"/>
      <c r="D43" s="60"/>
      <c r="E43" s="60"/>
      <c r="F43" s="60"/>
      <c r="G43" s="60"/>
    </row>
    <row r="45" customFormat="false" ht="15" hidden="false" customHeight="true" outlineLevel="0" collapsed="false">
      <c r="A45" s="53" t="s">
        <v>274</v>
      </c>
    </row>
    <row r="46" customFormat="false" ht="27.75" hidden="false" customHeight="true" outlineLevel="0" collapsed="false">
      <c r="A46" s="54" t="s">
        <v>98</v>
      </c>
      <c r="B46" s="54" t="s">
        <v>237</v>
      </c>
      <c r="C46" s="54" t="s">
        <v>240</v>
      </c>
      <c r="D46" s="54" t="s">
        <v>275</v>
      </c>
      <c r="E46" s="54" t="s">
        <v>242</v>
      </c>
    </row>
    <row r="47" customFormat="false" ht="15" hidden="false" customHeight="true" outlineLevel="0" collapsed="false">
      <c r="A47" s="47" t="s">
        <v>99</v>
      </c>
      <c r="B47" s="51" t="n">
        <f aca="false">B11</f>
        <v>0.2433</v>
      </c>
      <c r="C47" s="51" t="n">
        <f aca="false">E11</f>
        <v>0.3925</v>
      </c>
      <c r="D47" s="51" t="n">
        <f aca="false">F11</f>
        <v>0.038928</v>
      </c>
      <c r="E47" s="32" t="n">
        <f aca="false">G11</f>
        <v>0.615</v>
      </c>
    </row>
    <row r="48" customFormat="false" ht="15" hidden="false" customHeight="true" outlineLevel="0" collapsed="false">
      <c r="A48" s="47" t="s">
        <v>221</v>
      </c>
      <c r="B48" s="51" t="n">
        <f aca="false">B20</f>
        <v>0.276</v>
      </c>
      <c r="C48" s="51" t="n">
        <f aca="false">C20</f>
        <v>0.395</v>
      </c>
      <c r="D48" s="51" t="n">
        <f aca="false">D20</f>
        <v>0.04416</v>
      </c>
      <c r="E48" s="32" t="n">
        <f aca="false">E20</f>
        <v>1.81</v>
      </c>
    </row>
    <row r="49" customFormat="false" ht="15" hidden="false" customHeight="true" outlineLevel="0" collapsed="false">
      <c r="A49" s="47" t="s">
        <v>225</v>
      </c>
      <c r="B49" s="51" t="n">
        <f aca="false">B29</f>
        <v>0.282</v>
      </c>
      <c r="C49" s="51" t="n">
        <f aca="false">C29</f>
        <v>0.395</v>
      </c>
      <c r="D49" s="51" t="n">
        <f aca="false">D29</f>
        <v>0.04512</v>
      </c>
      <c r="E49" s="32" t="n">
        <f aca="false">E29</f>
        <v>1.81</v>
      </c>
    </row>
    <row r="50" customFormat="false" ht="15" hidden="false" customHeight="true" outlineLevel="0" collapsed="false">
      <c r="A50" s="47" t="s">
        <v>228</v>
      </c>
      <c r="B50" s="51" t="n">
        <f aca="false">B41</f>
        <v>0.346</v>
      </c>
      <c r="C50" s="51" t="n">
        <f aca="false">C41</f>
        <v>0.391</v>
      </c>
      <c r="D50" s="51" t="n">
        <f aca="false">D41</f>
        <v>0.05536</v>
      </c>
      <c r="E50" s="32" t="n">
        <f aca="false">E41</f>
        <v>2.46</v>
      </c>
    </row>
    <row r="51" customFormat="false" ht="15" hidden="false" customHeight="true" outlineLevel="0" collapsed="false">
      <c r="A51" s="47" t="s">
        <v>231</v>
      </c>
      <c r="B51" s="51" t="n">
        <f aca="false">B42</f>
        <v>0.343</v>
      </c>
      <c r="C51" s="51" t="n">
        <f aca="false">C42</f>
        <v>0.3915</v>
      </c>
      <c r="D51" s="51" t="n">
        <f aca="false">D42</f>
        <v>0.05488</v>
      </c>
      <c r="E51" s="32" t="n">
        <f aca="false">E42</f>
        <v>2.43</v>
      </c>
    </row>
  </sheetData>
  <mergeCells count="6">
    <mergeCell ref="A1:I1"/>
    <mergeCell ref="A2:I2"/>
    <mergeCell ref="A12:H12"/>
    <mergeCell ref="A21:G21"/>
    <mergeCell ref="A30:G30"/>
    <mergeCell ref="A43:G43"/>
  </mergeCells>
  <conditionalFormatting sqref="J10">
    <cfRule type="cellIs" priority="2" operator="not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M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16.01"/>
    <col collapsed="false" customWidth="true" hidden="false" outlineLevel="0" max="2" min="2" style="1" width="13.99"/>
    <col collapsed="false" customWidth="true" hidden="false" outlineLevel="0" max="3" min="3" style="1" width="16.01"/>
    <col collapsed="false" customWidth="true" hidden="false" outlineLevel="0" max="4" min="4" style="1" width="18.03"/>
    <col collapsed="false" customWidth="true" hidden="false" outlineLevel="0" max="5" min="5" style="1" width="16.01"/>
    <col collapsed="false" customWidth="true" hidden="false" outlineLevel="0" max="6" min="6" style="1" width="20.05"/>
    <col collapsed="false" customWidth="true" hidden="false" outlineLevel="0" max="7" min="7" style="1" width="18.03"/>
    <col collapsed="false" customWidth="true" hidden="false" outlineLevel="0" max="8" min="8" style="1" width="16.01"/>
    <col collapsed="false" customWidth="true" hidden="false" outlineLevel="0" max="10" min="10" style="1" width="32"/>
    <col collapsed="false" customWidth="true" hidden="false" outlineLevel="0" max="11" min="11" style="1" width="20"/>
    <col collapsed="false" customWidth="true" hidden="false" outlineLevel="0" max="12" min="12" style="1" width="18"/>
    <col collapsed="false" customWidth="true" hidden="false" outlineLevel="0" max="13" min="13" style="1" width="65"/>
  </cols>
  <sheetData>
    <row r="1" customFormat="false" ht="17.25" hidden="false" customHeight="true" outlineLevel="0" collapsed="false">
      <c r="A1" s="46" t="s">
        <v>60</v>
      </c>
      <c r="B1" s="46"/>
      <c r="C1" s="46"/>
      <c r="D1" s="46"/>
      <c r="E1" s="46"/>
      <c r="F1" s="46"/>
      <c r="G1" s="46"/>
    </row>
    <row r="2" customFormat="false" ht="15" hidden="false" customHeight="true" outlineLevel="0" collapsed="false">
      <c r="A2" s="17" t="s">
        <v>276</v>
      </c>
      <c r="B2" s="17"/>
      <c r="C2" s="17"/>
      <c r="D2" s="17"/>
      <c r="E2" s="17"/>
      <c r="F2" s="17"/>
      <c r="G2" s="17"/>
    </row>
    <row r="4" customFormat="false" ht="19.5" hidden="false" customHeight="true" outlineLevel="0" collapsed="false">
      <c r="A4" s="19" t="s">
        <v>277</v>
      </c>
      <c r="B4" s="20"/>
      <c r="C4" s="20"/>
      <c r="D4" s="20"/>
      <c r="E4" s="20"/>
      <c r="F4" s="20"/>
      <c r="G4" s="20"/>
      <c r="J4" s="40" t="s">
        <v>278</v>
      </c>
      <c r="K4" s="40"/>
      <c r="L4" s="40"/>
    </row>
    <row r="5" customFormat="false" ht="25.5" hidden="false" customHeight="true" outlineLevel="0" collapsed="false">
      <c r="A5" s="47" t="s">
        <v>128</v>
      </c>
      <c r="B5" s="63" t="n">
        <f aca="false">Dashboard!$B$17</f>
        <v>6250</v>
      </c>
      <c r="C5" s="23" t="s">
        <v>279</v>
      </c>
      <c r="D5" s="24"/>
      <c r="J5" s="1" t="s">
        <v>280</v>
      </c>
      <c r="K5" s="43" t="n">
        <f aca="false">Dashboard!$B$56</f>
        <v>1</v>
      </c>
      <c r="L5" s="1" t="s">
        <v>183</v>
      </c>
      <c r="M5" s="1" t="s">
        <v>281</v>
      </c>
    </row>
    <row r="6" customFormat="false" ht="25.5" hidden="false" customHeight="true" outlineLevel="0" collapsed="false">
      <c r="A6" s="47" t="s">
        <v>110</v>
      </c>
      <c r="B6" s="32" t="n">
        <f aca="false">Dashboard!$B$10</f>
        <v>1</v>
      </c>
      <c r="C6" s="23" t="s">
        <v>111</v>
      </c>
      <c r="D6" s="24"/>
      <c r="J6" s="1" t="s">
        <v>282</v>
      </c>
      <c r="K6" s="43" t="n">
        <f aca="false">IF(COUNT('Water Quality &amp; Plankton Log'!$A$6:$A$65)=0,0,MAX(0,MIN(1,0.6*MIN(1,(AVERAGE('Water Quality &amp; Plankton Log'!$G$6:$G$65)+AVERAGE('Water Quality &amp; Plankton Log'!$H$6:$H$65))/0.6)+0.4*MIN(1,AVERAGE('Water Quality &amp; Plankton Log'!$J$6:$J$65)/3))))</f>
        <v>0</v>
      </c>
      <c r="L6" s="1" t="s">
        <v>183</v>
      </c>
      <c r="M6" s="1" t="s">
        <v>283</v>
      </c>
    </row>
    <row r="7" customFormat="false" ht="25.5" hidden="false" customHeight="true" outlineLevel="0" collapsed="false">
      <c r="A7" s="47" t="s">
        <v>284</v>
      </c>
      <c r="B7" s="63" t="n">
        <f aca="false">B5*B6</f>
        <v>6250</v>
      </c>
      <c r="C7" s="23" t="s">
        <v>285</v>
      </c>
      <c r="D7" s="24" t="s">
        <v>286</v>
      </c>
      <c r="J7" s="1" t="s">
        <v>195</v>
      </c>
      <c r="K7" s="64" t="n">
        <f aca="false">'Pond Emission Model'!$G$46</f>
        <v>0</v>
      </c>
      <c r="L7" s="1" t="s">
        <v>287</v>
      </c>
      <c r="M7" s="1" t="s">
        <v>288</v>
      </c>
    </row>
    <row r="8" customFormat="false" ht="25.5" hidden="false" customHeight="true" outlineLevel="0" collapsed="false">
      <c r="A8" s="47" t="s">
        <v>289</v>
      </c>
      <c r="B8" s="65" t="n">
        <f aca="false">Dashboard!$B$18</f>
        <v>150</v>
      </c>
      <c r="C8" s="23" t="s">
        <v>290</v>
      </c>
      <c r="D8" s="24"/>
      <c r="J8" s="1" t="s">
        <v>291</v>
      </c>
      <c r="K8" s="58" t="str">
        <f aca="false">'Pond Emission Model'!$G$45</f>
        <v/>
      </c>
      <c r="L8" s="1" t="s">
        <v>287</v>
      </c>
      <c r="M8" s="1" t="s">
        <v>292</v>
      </c>
    </row>
    <row r="9" customFormat="false" ht="25.5" hidden="false" customHeight="true" outlineLevel="0" collapsed="false">
      <c r="A9" s="47" t="s">
        <v>293</v>
      </c>
      <c r="B9" s="32" t="n">
        <f aca="false">Dashboard!$B$20</f>
        <v>1500</v>
      </c>
      <c r="C9" s="23" t="s">
        <v>290</v>
      </c>
      <c r="D9" s="24"/>
      <c r="J9" s="1" t="s">
        <v>294</v>
      </c>
      <c r="K9" s="58" t="n">
        <f aca="false">IF($K$7&lt;0.75,0,IF(AND(ISNUMBER($K$8),$K$8&gt;0.5),MIN(0.05,0.2*$K$6*$K$5),MIN(0.2,0.2*$K$6*$K$5)))</f>
        <v>0</v>
      </c>
      <c r="L9" s="1" t="s">
        <v>287</v>
      </c>
      <c r="M9" s="1" t="s">
        <v>295</v>
      </c>
    </row>
    <row r="10" customFormat="false" ht="25.5" hidden="false" customHeight="true" outlineLevel="0" collapsed="false">
      <c r="A10" s="47" t="s">
        <v>132</v>
      </c>
      <c r="B10" s="66" t="n">
        <f aca="false">Dashboard!$B$21</f>
        <v>240</v>
      </c>
      <c r="C10" s="23" t="s">
        <v>296</v>
      </c>
      <c r="D10" s="24"/>
      <c r="J10" s="1" t="s">
        <v>297</v>
      </c>
      <c r="K10" s="44" t="str">
        <f aca="false">Dashboard!$B$32</f>
        <v>No</v>
      </c>
      <c r="L10" s="1" t="s">
        <v>148</v>
      </c>
      <c r="M10" s="1" t="s">
        <v>298</v>
      </c>
    </row>
    <row r="11" customFormat="false" ht="25.5" hidden="false" customHeight="true" outlineLevel="0" collapsed="false">
      <c r="A11" s="47" t="s">
        <v>133</v>
      </c>
      <c r="B11" s="49" t="n">
        <f aca="false">Dashboard!$B$22</f>
        <v>0.8</v>
      </c>
      <c r="C11" s="23" t="s">
        <v>299</v>
      </c>
      <c r="D11" s="24"/>
      <c r="J11" s="1" t="s">
        <v>300</v>
      </c>
      <c r="K11" s="58" t="n">
        <f aca="false">IF($K$10="Yes",12.5%,0)</f>
        <v>0</v>
      </c>
      <c r="L11" s="1" t="s">
        <v>287</v>
      </c>
      <c r="M11" s="1" t="s">
        <v>301</v>
      </c>
    </row>
    <row r="12" customFormat="false" ht="25.5" hidden="false" customHeight="true" outlineLevel="0" collapsed="false">
      <c r="A12" s="47" t="s">
        <v>302</v>
      </c>
      <c r="B12" s="32" t="n">
        <f aca="false">Dashboard!$B$30</f>
        <v>3</v>
      </c>
      <c r="C12" s="23" t="s">
        <v>120</v>
      </c>
      <c r="D12" s="24"/>
      <c r="J12" s="1" t="s">
        <v>303</v>
      </c>
      <c r="K12" s="67" t="n">
        <f aca="false">IF($K$7&lt;0.75,1,IFERROR(IF(AVERAGE('Water Quality &amp; Plankton Log'!$C$6:$C$65)&lt;3,1.1,1),1))</f>
        <v>1</v>
      </c>
      <c r="L12" s="1" t="s">
        <v>304</v>
      </c>
      <c r="M12" s="1" t="s">
        <v>305</v>
      </c>
    </row>
    <row r="13" customFormat="false" ht="25.5" hidden="false" customHeight="true" outlineLevel="0" collapsed="false">
      <c r="A13" s="47" t="s">
        <v>306</v>
      </c>
      <c r="B13" s="68" t="n">
        <f aca="false">LN(B9/B8)/B10</f>
        <v>0.00959410455414186</v>
      </c>
      <c r="C13" s="23" t="s">
        <v>307</v>
      </c>
      <c r="D13" s="24" t="s">
        <v>308</v>
      </c>
      <c r="J13" s="1" t="s">
        <v>309</v>
      </c>
      <c r="K13" s="44" t="n">
        <f aca="false">Dashboard!$B$30*(1-$K$11)*$K$12</f>
        <v>3</v>
      </c>
      <c r="L13" s="1" t="s">
        <v>120</v>
      </c>
      <c r="M13" s="1" t="s">
        <v>310</v>
      </c>
    </row>
    <row r="14" customFormat="false" ht="15" hidden="false" customHeight="true" outlineLevel="0" collapsed="false">
      <c r="J14" s="1" t="s">
        <v>311</v>
      </c>
      <c r="K14" s="58" t="n">
        <f aca="false">IF($K$10="Yes",10%,0)</f>
        <v>0</v>
      </c>
      <c r="L14" s="1" t="s">
        <v>287</v>
      </c>
      <c r="M14" s="1" t="s">
        <v>312</v>
      </c>
    </row>
    <row r="15" customFormat="false" ht="19.5" hidden="false" customHeight="true" outlineLevel="0" collapsed="false">
      <c r="A15" s="19" t="s">
        <v>313</v>
      </c>
      <c r="B15" s="20"/>
      <c r="C15" s="20"/>
      <c r="D15" s="20"/>
      <c r="E15" s="20"/>
      <c r="F15" s="20"/>
      <c r="G15" s="20"/>
      <c r="J15" s="1" t="s">
        <v>314</v>
      </c>
      <c r="K15" s="44" t="str">
        <f aca="false">IF($K$7&gt;=0.9,"A",IF($K$7&gt;=0.75,"B",IF($K$7&gt;0,"C","D")))</f>
        <v>D</v>
      </c>
      <c r="L15" s="1" t="s">
        <v>315</v>
      </c>
      <c r="M15" s="1" t="s">
        <v>316</v>
      </c>
    </row>
    <row r="16" customFormat="false" ht="27.75" hidden="false" customHeight="true" outlineLevel="0" collapsed="false">
      <c r="A16" s="8" t="s">
        <v>317</v>
      </c>
      <c r="B16" s="8" t="s">
        <v>318</v>
      </c>
      <c r="C16" s="8" t="s">
        <v>319</v>
      </c>
      <c r="D16" s="8" t="s">
        <v>320</v>
      </c>
      <c r="E16" s="8" t="s">
        <v>321</v>
      </c>
      <c r="F16" s="8" t="s">
        <v>322</v>
      </c>
      <c r="G16" s="8" t="s">
        <v>323</v>
      </c>
      <c r="H16" s="8" t="s">
        <v>324</v>
      </c>
    </row>
    <row r="17" customFormat="false" ht="19.5" hidden="false" customHeight="true" outlineLevel="0" collapsed="false">
      <c r="A17" s="50" t="n">
        <v>1</v>
      </c>
      <c r="B17" s="66" t="n">
        <f aca="false">$B$10/6*1</f>
        <v>40</v>
      </c>
      <c r="C17" s="32" t="n">
        <f aca="false">IF($B$29="Logistic (Sigmoidal)",$B$30/(1+(($B$30-$B$8)/$B$8)*EXP(-$B$31*B17)),$B$8*EXP($B$13*B17))</f>
        <v>220.16989014331</v>
      </c>
      <c r="D17" s="63" t="n">
        <f aca="false">$B$7*(1-(1-$B$11)*(B17/$B$10))</f>
        <v>6041.66666666667</v>
      </c>
      <c r="E17" s="69" t="n">
        <f aca="false">C17*D17/1000</f>
        <v>1330.1930862825</v>
      </c>
      <c r="F17" s="69" t="n">
        <f aca="false">(MAX(0,E17-($B$8*$B$7/1000))+$B$32*(($B$7-D17)*(($B$8+C17)/2)/1000))*$K$13*(1-$K$9)*H17</f>
        <v>1235.91830418239</v>
      </c>
      <c r="G17" s="69" t="n">
        <f aca="false">F17</f>
        <v>1235.91830418239</v>
      </c>
      <c r="H17" s="70" t="n">
        <v>1</v>
      </c>
    </row>
    <row r="18" customFormat="false" ht="19.5" hidden="false" customHeight="true" outlineLevel="0" collapsed="false">
      <c r="A18" s="50" t="n">
        <v>2</v>
      </c>
      <c r="B18" s="66" t="n">
        <f aca="false">$B$10/6*2</f>
        <v>80</v>
      </c>
      <c r="C18" s="32" t="n">
        <f aca="false">IF($B$29="Logistic (Sigmoidal)",$B$30/(1+(($B$30-$B$8)/$B$8)*EXP(-$B$31*B18)),$B$8*EXP($B$13*B18))</f>
        <v>323.165203504783</v>
      </c>
      <c r="D18" s="63" t="n">
        <f aca="false">$B$7*(1-(1-$B$11)*(B18/$B$10))</f>
        <v>5833.33333333333</v>
      </c>
      <c r="E18" s="69" t="n">
        <f aca="false">C18*D18/1000</f>
        <v>1885.1303537779</v>
      </c>
      <c r="F18" s="69" t="n">
        <f aca="false">(MAX(0,E18-E17)+$B$32*((D17-D18)*((C17+C18)/2)/1000))*$K$13*(1-$K$9)*H18</f>
        <v>1749.70791086871</v>
      </c>
      <c r="G18" s="69" t="n">
        <f aca="false">G17+F18</f>
        <v>2985.6262150511</v>
      </c>
      <c r="H18" s="70" t="n">
        <v>1</v>
      </c>
    </row>
    <row r="19" customFormat="false" ht="19.5" hidden="false" customHeight="true" outlineLevel="0" collapsed="false">
      <c r="A19" s="50" t="n">
        <v>3</v>
      </c>
      <c r="B19" s="66" t="n">
        <f aca="false">$B$10/6*3</f>
        <v>120</v>
      </c>
      <c r="C19" s="32" t="n">
        <f aca="false">IF($B$29="Logistic (Sigmoidal)",$B$30/(1+(($B$30-$B$8)/$B$8)*EXP(-$B$31*B19)),$B$8*EXP($B$13*B19))</f>
        <v>474.341649025257</v>
      </c>
      <c r="D19" s="63" t="n">
        <f aca="false">$B$7*(1-(1-$B$11)*(B19/$B$10))</f>
        <v>5625</v>
      </c>
      <c r="E19" s="69" t="n">
        <f aca="false">C19*D19/1000</f>
        <v>2668.17177576707</v>
      </c>
      <c r="F19" s="69" t="n">
        <f aca="false">(MAX(0,E19-E18)+$B$32*((D18-D19)*((C18+C19)/2)/1000))*$K$13*(1-$K$9)*H19</f>
        <v>2473.73471167533</v>
      </c>
      <c r="G19" s="69" t="n">
        <f aca="false">G18+F19</f>
        <v>5459.36092672644</v>
      </c>
      <c r="H19" s="70" t="n">
        <v>1</v>
      </c>
    </row>
    <row r="20" customFormat="false" ht="19.5" hidden="false" customHeight="true" outlineLevel="0" collapsed="false">
      <c r="A20" s="50" t="n">
        <v>4</v>
      </c>
      <c r="B20" s="66" t="n">
        <f aca="false">$B$10/6*4</f>
        <v>160</v>
      </c>
      <c r="C20" s="32" t="n">
        <f aca="false">IF($B$29="Logistic (Sigmoidal)",$B$30/(1+(($B$30-$B$8)/$B$8)*EXP(-$B$31*B20)),$B$8*EXP($B$13*B20))</f>
        <v>696.238325041917</v>
      </c>
      <c r="D20" s="63" t="n">
        <f aca="false">$B$7*(1-(1-$B$11)*(B20/$B$10))</f>
        <v>5416.66666666667</v>
      </c>
      <c r="E20" s="69" t="n">
        <f aca="false">C20*D20/1000</f>
        <v>3771.29092731038</v>
      </c>
      <c r="F20" s="69" t="n">
        <f aca="false">(MAX(0,E20-E19)+$B$32*((D19-D20)*((C19+C20)/2)/1000))*$K$13*(1-$K$9)*H20</f>
        <v>3492.26057557793</v>
      </c>
      <c r="G20" s="69" t="n">
        <f aca="false">G19+F20</f>
        <v>8951.62150230437</v>
      </c>
      <c r="H20" s="70" t="n">
        <v>1</v>
      </c>
    </row>
    <row r="21" customFormat="false" ht="19.5" hidden="false" customHeight="true" outlineLevel="0" collapsed="false">
      <c r="A21" s="50" t="n">
        <v>5</v>
      </c>
      <c r="B21" s="66" t="n">
        <f aca="false">$B$10/6*5</f>
        <v>200</v>
      </c>
      <c r="C21" s="32" t="n">
        <f aca="false">IF($B$29="Logistic (Sigmoidal)",$B$30/(1+(($B$30-$B$8)/$B$8)*EXP(-$B$31*B21)),$B$8*EXP($B$13*B21))</f>
        <v>1021.93810358694</v>
      </c>
      <c r="D21" s="63" t="n">
        <f aca="false">$B$7*(1-(1-$B$11)*(B21/$B$10))</f>
        <v>5208.33333333333</v>
      </c>
      <c r="E21" s="69" t="n">
        <f aca="false">C21*D21/1000</f>
        <v>5322.59428951532</v>
      </c>
      <c r="F21" s="69" t="n">
        <f aca="false">(MAX(0,E21-E20)+$B$32*((D20-D21)*((C20+C21)/2)/1000))*$K$13*(1-$K$9)*H21</f>
        <v>4922.37515358808</v>
      </c>
      <c r="G21" s="69" t="n">
        <f aca="false">G20+F21</f>
        <v>13873.9966558925</v>
      </c>
      <c r="H21" s="70" t="n">
        <v>1</v>
      </c>
    </row>
    <row r="22" customFormat="false" ht="19.5" hidden="false" customHeight="true" outlineLevel="0" collapsed="false">
      <c r="A22" s="50" t="n">
        <v>6</v>
      </c>
      <c r="B22" s="66" t="n">
        <f aca="false">$B$10/6*6</f>
        <v>240</v>
      </c>
      <c r="C22" s="32" t="n">
        <f aca="false">IF($B$29="Logistic (Sigmoidal)",$B$30/(1+(($B$30-$B$8)/$B$8)*EXP(-$B$31*B22)),$B$8*EXP($B$13*B22))</f>
        <v>1500</v>
      </c>
      <c r="D22" s="63" t="n">
        <f aca="false">$B$7*(1-(1-$B$11)*(B22/$B$10))</f>
        <v>5000</v>
      </c>
      <c r="E22" s="69" t="n">
        <f aca="false">C22*D22/1000</f>
        <v>7500</v>
      </c>
      <c r="F22" s="69" t="n">
        <f aca="false">(MAX(0,E22-E21)+$B$32*((D21-D22)*((C21+C22)/2)/1000))*$K$13*(1-$K$9)*H22</f>
        <v>6926.26996013949</v>
      </c>
      <c r="G22" s="71" t="n">
        <f aca="false">G21+F22</f>
        <v>20800.2666160319</v>
      </c>
      <c r="H22" s="70" t="n">
        <v>1</v>
      </c>
    </row>
    <row r="23" customFormat="false" ht="30" hidden="false" customHeight="true" outlineLevel="0" collapsed="false">
      <c r="A23" s="60" t="s">
        <v>325</v>
      </c>
      <c r="B23" s="60"/>
      <c r="C23" s="60"/>
      <c r="D23" s="60"/>
      <c r="E23" s="60"/>
      <c r="F23" s="60"/>
      <c r="G23" s="60"/>
      <c r="H23" s="60"/>
    </row>
    <row r="24" customFormat="false" ht="19.5" hidden="false" customHeight="true" outlineLevel="0" collapsed="false">
      <c r="A24" s="19" t="s">
        <v>326</v>
      </c>
      <c r="B24" s="20"/>
      <c r="C24" s="20"/>
      <c r="D24" s="20"/>
      <c r="E24" s="20"/>
      <c r="F24" s="20"/>
      <c r="G24" s="20"/>
    </row>
    <row r="25" customFormat="false" ht="25.5" hidden="false" customHeight="true" outlineLevel="0" collapsed="false">
      <c r="A25" s="21" t="s">
        <v>327</v>
      </c>
      <c r="B25" s="72" t="n">
        <f aca="false">G22</f>
        <v>20800.2666160319</v>
      </c>
      <c r="C25" s="23" t="s">
        <v>141</v>
      </c>
      <c r="D25" s="24" t="s">
        <v>328</v>
      </c>
    </row>
    <row r="26" customFormat="false" ht="25.5" hidden="false" customHeight="true" outlineLevel="0" collapsed="false">
      <c r="A26" s="21" t="s">
        <v>329</v>
      </c>
      <c r="B26" s="72" t="n">
        <f aca="false">E22</f>
        <v>7500</v>
      </c>
      <c r="C26" s="23" t="s">
        <v>141</v>
      </c>
      <c r="D26" s="24" t="s">
        <v>330</v>
      </c>
    </row>
    <row r="28" customFormat="false" ht="19.5" hidden="false" customHeight="true" outlineLevel="0" collapsed="false">
      <c r="A28" s="19" t="s">
        <v>331</v>
      </c>
      <c r="B28" s="20"/>
      <c r="C28" s="20"/>
      <c r="D28" s="20"/>
      <c r="E28" s="20"/>
      <c r="F28" s="20"/>
      <c r="G28" s="20"/>
      <c r="H28" s="20"/>
    </row>
    <row r="29" customFormat="false" ht="25.5" hidden="false" customHeight="true" outlineLevel="0" collapsed="false">
      <c r="A29" s="21" t="s">
        <v>332</v>
      </c>
      <c r="B29" s="25" t="s">
        <v>333</v>
      </c>
      <c r="C29" s="23" t="s">
        <v>334</v>
      </c>
      <c r="D29" s="24" t="s">
        <v>335</v>
      </c>
    </row>
    <row r="30" customFormat="false" ht="25.5" hidden="false" customHeight="true" outlineLevel="0" collapsed="false">
      <c r="A30" s="47" t="s">
        <v>336</v>
      </c>
      <c r="B30" s="32" t="n">
        <f aca="false">B9/0.98</f>
        <v>1530.61224489796</v>
      </c>
      <c r="C30" s="23" t="s">
        <v>290</v>
      </c>
      <c r="D30" s="24" t="s">
        <v>337</v>
      </c>
    </row>
    <row r="31" customFormat="false" ht="25.5" hidden="false" customHeight="true" outlineLevel="0" collapsed="false">
      <c r="A31" s="47" t="s">
        <v>338</v>
      </c>
      <c r="B31" s="68" t="n">
        <f aca="false">-LN((B30/B9-1)*B8/(B30-B8))/B10</f>
        <v>0.0254644472479278</v>
      </c>
      <c r="C31" s="23" t="s">
        <v>307</v>
      </c>
      <c r="D31" s="24" t="s">
        <v>339</v>
      </c>
    </row>
    <row r="32" customFormat="false" ht="25.5" hidden="false" customHeight="true" outlineLevel="0" collapsed="false">
      <c r="A32" s="21" t="s">
        <v>340</v>
      </c>
      <c r="B32" s="70" t="n">
        <v>0.5</v>
      </c>
      <c r="C32" s="23" t="s">
        <v>287</v>
      </c>
      <c r="D32" s="24" t="s">
        <v>341</v>
      </c>
    </row>
    <row r="34" customFormat="false" ht="19.5" hidden="false" customHeight="true" outlineLevel="0" collapsed="false">
      <c r="A34" s="73" t="s">
        <v>342</v>
      </c>
      <c r="B34" s="20"/>
      <c r="C34" s="20"/>
      <c r="D34" s="20"/>
      <c r="E34" s="20"/>
      <c r="F34" s="20"/>
      <c r="G34" s="20"/>
    </row>
    <row r="35" customFormat="false" ht="45.75" hidden="false" customHeight="true" outlineLevel="0" collapsed="false">
      <c r="A35" s="60" t="s">
        <v>343</v>
      </c>
      <c r="B35" s="60"/>
      <c r="C35" s="60"/>
      <c r="D35" s="60"/>
      <c r="E35" s="60"/>
      <c r="F35" s="60"/>
      <c r="G35" s="60"/>
    </row>
    <row r="36" customFormat="false" ht="33.75" hidden="false" customHeight="true" outlineLevel="0" collapsed="false">
      <c r="A36" s="8" t="s">
        <v>344</v>
      </c>
      <c r="B36" s="8" t="s">
        <v>345</v>
      </c>
      <c r="C36" s="8" t="s">
        <v>346</v>
      </c>
      <c r="D36" s="8" t="s">
        <v>347</v>
      </c>
      <c r="E36" s="8" t="s">
        <v>348</v>
      </c>
      <c r="F36" s="8" t="s">
        <v>349</v>
      </c>
      <c r="G36" s="8" t="s">
        <v>350</v>
      </c>
    </row>
    <row r="37" customFormat="false" ht="19.5" hidden="false" customHeight="true" outlineLevel="0" collapsed="false">
      <c r="A37" s="74" t="n">
        <v>0.1</v>
      </c>
      <c r="B37" s="74" t="n">
        <v>0.1</v>
      </c>
      <c r="C37" s="75" t="n">
        <v>2.64</v>
      </c>
      <c r="D37" s="75" t="n">
        <v>4</v>
      </c>
      <c r="E37" s="75" t="n">
        <v>6.64</v>
      </c>
      <c r="F37" s="75" t="n">
        <v>3.3</v>
      </c>
      <c r="G37" s="76" t="str">
        <f aca="false">CONCATENATE(ROUND(((A37+B37/2)*(E37/100)*30)/B37,2)," / ",ROUND(((A37+B37/2)*(F37/100)*30)/B37,2))</f>
        <v>2.99 / 1.49</v>
      </c>
    </row>
    <row r="38" customFormat="false" ht="19.5" hidden="false" customHeight="true" outlineLevel="0" collapsed="false">
      <c r="A38" s="74" t="n">
        <v>0.2</v>
      </c>
      <c r="B38" s="74" t="n">
        <v>0.12</v>
      </c>
      <c r="C38" s="75" t="n">
        <v>1.6</v>
      </c>
      <c r="D38" s="75" t="n">
        <v>2.4</v>
      </c>
      <c r="E38" s="75" t="n">
        <v>4</v>
      </c>
      <c r="F38" s="75" t="n">
        <v>2</v>
      </c>
      <c r="G38" s="76" t="str">
        <f aca="false">CONCATENATE(ROUND(((A38+B38/2)*(E38/100)*30)/B38,2)," / ",ROUND(((A38+B38/2)*(F38/100)*30)/B38,2))</f>
        <v>2.6 / 1.3</v>
      </c>
    </row>
    <row r="39" customFormat="false" ht="19.5" hidden="false" customHeight="true" outlineLevel="0" collapsed="false">
      <c r="A39" s="74" t="n">
        <v>0.32</v>
      </c>
      <c r="B39" s="74" t="n">
        <v>0.12</v>
      </c>
      <c r="C39" s="75" t="n">
        <v>1</v>
      </c>
      <c r="D39" s="75" t="n">
        <v>1.5</v>
      </c>
      <c r="E39" s="75" t="n">
        <v>2.5</v>
      </c>
      <c r="F39" s="75" t="n">
        <v>1.4</v>
      </c>
      <c r="G39" s="76" t="str">
        <f aca="false">CONCATENATE(ROUND(((A39+B39/2)*(E39/100)*30)/B39,2)," / ",ROUND(((A39+B39/2)*(F39/100)*30)/B39,2))</f>
        <v>2.38 / 1.33</v>
      </c>
    </row>
    <row r="40" customFormat="false" ht="19.5" hidden="false" customHeight="true" outlineLevel="0" collapsed="false">
      <c r="A40" s="74" t="n">
        <v>0.44</v>
      </c>
      <c r="B40" s="74" t="n">
        <v>0.12</v>
      </c>
      <c r="C40" s="75" t="n">
        <v>0.72</v>
      </c>
      <c r="D40" s="75" t="n">
        <v>1.1</v>
      </c>
      <c r="E40" s="75" t="n">
        <v>1.82</v>
      </c>
      <c r="F40" s="75" t="n">
        <v>1.15</v>
      </c>
      <c r="G40" s="76" t="str">
        <f aca="false">CONCATENATE(ROUND(((A40+B40/2)*(E40/100)*30)/B40,2)," / ",ROUND(((A40+B40/2)*(F40/100)*30)/B40,2))</f>
        <v>2.28 / 1.44</v>
      </c>
    </row>
    <row r="41" customFormat="false" ht="19.5" hidden="false" customHeight="true" outlineLevel="0" collapsed="false">
      <c r="A41" s="74" t="n">
        <v>0.56</v>
      </c>
      <c r="B41" s="74" t="n">
        <v>0.15</v>
      </c>
      <c r="C41" s="75" t="n">
        <v>0.7</v>
      </c>
      <c r="D41" s="75" t="n">
        <v>1.1</v>
      </c>
      <c r="E41" s="75" t="n">
        <v>1.8</v>
      </c>
      <c r="F41" s="75" t="n">
        <v>1</v>
      </c>
      <c r="G41" s="76" t="str">
        <f aca="false">CONCATENATE(ROUND(((A41+B41/2)*(E41/100)*30)/B41,2)," / ",ROUND(((A41+B41/2)*(F41/100)*30)/B41,2))</f>
        <v>2.29 / 1.27</v>
      </c>
    </row>
    <row r="42" customFormat="false" ht="19.5" hidden="false" customHeight="true" outlineLevel="0" collapsed="false">
      <c r="A42" s="74" t="n">
        <v>0.71</v>
      </c>
      <c r="B42" s="74" t="n">
        <v>0.15</v>
      </c>
      <c r="C42" s="75" t="n">
        <v>0.56</v>
      </c>
      <c r="D42" s="75" t="n">
        <v>0.8</v>
      </c>
      <c r="E42" s="75" t="n">
        <v>1.36</v>
      </c>
      <c r="F42" s="75" t="n">
        <v>0.8</v>
      </c>
      <c r="G42" s="76" t="str">
        <f aca="false">CONCATENATE(ROUND(((A42+B42/2)*(E42/100)*30)/B42,2)," / ",ROUND(((A42+B42/2)*(F42/100)*30)/B42,2))</f>
        <v>2.14 / 1.26</v>
      </c>
    </row>
    <row r="43" customFormat="false" ht="19.5" hidden="false" customHeight="true" outlineLevel="0" collapsed="false">
      <c r="A43" s="74" t="n">
        <v>0.86</v>
      </c>
      <c r="B43" s="74" t="n">
        <v>0.18</v>
      </c>
      <c r="C43" s="75" t="n">
        <v>0.55</v>
      </c>
      <c r="D43" s="75" t="n">
        <v>0.8</v>
      </c>
      <c r="E43" s="75" t="n">
        <v>1.35</v>
      </c>
      <c r="F43" s="75" t="n">
        <v>0.75</v>
      </c>
      <c r="G43" s="76" t="str">
        <f aca="false">CONCATENATE(ROUND(((A43+B43/2)*(E43/100)*30)/B43,2)," / ",ROUND(((A43+B43/2)*(F43/100)*30)/B43,2))</f>
        <v>2.14 / 1.19</v>
      </c>
    </row>
    <row r="44" customFormat="false" ht="19.5" hidden="false" customHeight="true" outlineLevel="0" collapsed="false">
      <c r="A44" s="74" t="n">
        <v>1.04</v>
      </c>
      <c r="B44" s="74" t="n">
        <v>0.18</v>
      </c>
      <c r="C44" s="75" t="n">
        <v>0.46</v>
      </c>
      <c r="D44" s="75" t="n">
        <v>0.7</v>
      </c>
      <c r="E44" s="75" t="n">
        <v>1.16</v>
      </c>
      <c r="F44" s="75" t="n">
        <v>0.75</v>
      </c>
      <c r="G44" s="76" t="str">
        <f aca="false">CONCATENATE(ROUND(((A44+B44/2)*(E44/100)*30)/B44,2)," / ",ROUND(((A44+B44/2)*(F44/100)*30)/B44,2))</f>
        <v>2.18 / 1.41</v>
      </c>
    </row>
    <row r="46" customFormat="false" ht="30" hidden="false" customHeight="true" outlineLevel="0" collapsed="false">
      <c r="A46" s="77" t="s">
        <v>351</v>
      </c>
      <c r="B46" s="77"/>
      <c r="C46" s="77"/>
      <c r="D46" s="77"/>
      <c r="E46" s="78" t="n">
        <f aca="false">ROUND((((A37+B37/2)*(E37/100)*30)+((A38+B38/2)*(E38/100)*30)+((A39+B39/2)*(E39/100)*30)+((A40+B40/2)*(E40/100)*30)+((A41+B41/2)*(E41/100)*30)+((A42+B42/2)*(E42/100)*30)+((A43+B43/2)*(E43/100)*30)+((A44+B44/2)*(E44/100)*30))/SUM(B37:B44),2)</f>
        <v>2.33</v>
      </c>
      <c r="F46" s="78" t="n">
        <f aca="false">ROUND((((A37+B37/2)*(F37/100)*30)+((A38+B38/2)*(F38/100)*30)+((A39+B39/2)*(F39/100)*30)+((A40+B40/2)*(F40/100)*30)+((A41+B41/2)*(F41/100)*30)+((A42+B42/2)*(F42/100)*30)+((A43+B43/2)*(F43/100)*30)+((A44+B44/2)*(F44/100)*30))/SUM(B37:B44),2)</f>
        <v>1.32</v>
      </c>
      <c r="G46" s="33" t="s">
        <v>352</v>
      </c>
    </row>
  </sheetData>
  <mergeCells count="5">
    <mergeCell ref="A1:G1"/>
    <mergeCell ref="A2:G2"/>
    <mergeCell ref="A23:H23"/>
    <mergeCell ref="A35:G35"/>
    <mergeCell ref="A46:D46"/>
  </mergeCells>
  <dataValidations count="1">
    <dataValidation allowBlank="false" errorStyle="stop" operator="between" showDropDown="false" showErrorMessage="false" showInputMessage="false" sqref="B29" type="list">
      <formula1>"Exponential (SGR),Logistic (Sigmoidal)"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18.03"/>
    <col collapsed="false" customWidth="true" hidden="false" outlineLevel="0" max="2" min="2" style="1" width="7.94"/>
    <col collapsed="false" customWidth="true" hidden="false" outlineLevel="0" max="3" min="3" style="1" width="13.99"/>
    <col collapsed="false" customWidth="true" hidden="false" outlineLevel="0" max="4" min="4" style="1" width="13.03"/>
    <col collapsed="false" customWidth="true" hidden="false" outlineLevel="0" max="5" min="5" style="1" width="14.93"/>
    <col collapsed="false" customWidth="true" hidden="false" outlineLevel="0" max="6" min="6" style="1" width="13.03"/>
    <col collapsed="false" customWidth="true" hidden="false" outlineLevel="0" max="8" min="7" style="1" width="14.93"/>
    <col collapsed="false" customWidth="true" hidden="false" outlineLevel="0" max="9" min="9" style="1" width="16.01"/>
  </cols>
  <sheetData>
    <row r="1" customFormat="false" ht="17.25" hidden="false" customHeight="true" outlineLevel="0" collapsed="false">
      <c r="A1" s="46" t="s">
        <v>45</v>
      </c>
      <c r="B1" s="46"/>
      <c r="C1" s="46"/>
      <c r="D1" s="46"/>
      <c r="E1" s="46"/>
      <c r="F1" s="46"/>
      <c r="G1" s="46"/>
      <c r="H1" s="46"/>
      <c r="I1" s="46"/>
    </row>
    <row r="2" customFormat="false" ht="15" hidden="false" customHeight="true" outlineLevel="0" collapsed="false">
      <c r="A2" s="17" t="s">
        <v>353</v>
      </c>
      <c r="B2" s="17"/>
      <c r="C2" s="17"/>
      <c r="D2" s="17"/>
      <c r="E2" s="17"/>
      <c r="F2" s="17"/>
      <c r="G2" s="17"/>
      <c r="H2" s="17"/>
      <c r="I2" s="17"/>
    </row>
    <row r="3" customFormat="false" ht="15" hidden="false" customHeight="true" outlineLevel="0" collapsed="false">
      <c r="A3" s="18" t="s">
        <v>354</v>
      </c>
      <c r="B3" s="18"/>
      <c r="C3" s="18"/>
      <c r="D3" s="18"/>
      <c r="E3" s="18"/>
      <c r="F3" s="18"/>
      <c r="G3" s="18"/>
      <c r="H3" s="18"/>
      <c r="I3" s="18"/>
    </row>
    <row r="5" customFormat="false" ht="25.5" hidden="false" customHeight="true" outlineLevel="0" collapsed="false">
      <c r="A5" s="21" t="s">
        <v>355</v>
      </c>
      <c r="B5" s="72" t="n">
        <f aca="false">'Growth &amp; Feed Model'!B7</f>
        <v>6250</v>
      </c>
      <c r="C5" s="23" t="s">
        <v>285</v>
      </c>
      <c r="D5" s="24"/>
    </row>
    <row r="6" customFormat="false" ht="25.5" hidden="false" customHeight="true" outlineLevel="0" collapsed="false">
      <c r="A6" s="21" t="s">
        <v>356</v>
      </c>
      <c r="B6" s="72" t="n">
        <f aca="false">'Growth &amp; Feed Model'!B26</f>
        <v>7500</v>
      </c>
      <c r="C6" s="23" t="s">
        <v>141</v>
      </c>
      <c r="D6" s="24" t="s">
        <v>357</v>
      </c>
    </row>
    <row r="8" customFormat="false" ht="19.5" hidden="false" customHeight="true" outlineLevel="0" collapsed="false">
      <c r="A8" s="19" t="s">
        <v>358</v>
      </c>
      <c r="B8" s="20"/>
      <c r="C8" s="20"/>
      <c r="D8" s="20"/>
      <c r="E8" s="20"/>
      <c r="F8" s="20"/>
      <c r="G8" s="20"/>
      <c r="H8" s="20"/>
      <c r="I8" s="20"/>
    </row>
    <row r="9" customFormat="false" ht="39.75" hidden="false" customHeight="true" outlineLevel="0" collapsed="false">
      <c r="A9" s="8" t="s">
        <v>359</v>
      </c>
      <c r="B9" s="8" t="s">
        <v>318</v>
      </c>
      <c r="C9" s="8" t="s">
        <v>360</v>
      </c>
      <c r="D9" s="8" t="s">
        <v>361</v>
      </c>
      <c r="E9" s="8" t="s">
        <v>362</v>
      </c>
      <c r="F9" s="8" t="s">
        <v>363</v>
      </c>
      <c r="G9" s="8" t="s">
        <v>364</v>
      </c>
      <c r="H9" s="8" t="s">
        <v>365</v>
      </c>
      <c r="I9" s="8" t="s">
        <v>366</v>
      </c>
    </row>
    <row r="10" customFormat="false" ht="21.75" hidden="false" customHeight="true" outlineLevel="0" collapsed="false">
      <c r="A10" s="47" t="s">
        <v>367</v>
      </c>
      <c r="B10" s="79" t="n">
        <f aca="false">IFERROR(INDEX($B$22:$B$26,MATCH(Dashboard!$B$5,$A$22:$A$26,0)),"")</f>
        <v>200</v>
      </c>
      <c r="C10" s="79" t="n">
        <f aca="false">IFERROR(INDEX($C$22:$C$26,MATCH(Dashboard!$B$5,$A$22:$A$26,0)),"")</f>
        <v>0</v>
      </c>
      <c r="D10" s="80" t="n">
        <f aca="false">IF(OR(C10="",C10=0),IF(OR(B10="",B10=0),"",IF('Growth &amp; Feed Model'!$B$29="Logistic (Sigmoidal)",'Growth &amp; Feed Model'!$B$30/(1+(('Growth &amp; Feed Model'!$B$30-'Growth &amp; Feed Model'!$B$8)/'Growth &amp; Feed Model'!$B$8)*EXP(-'Growth &amp; Feed Model'!$B$31*B10)),'Growth &amp; Feed Model'!$B$8*EXP('Growth &amp; Feed Model'!$B$13*B10))),1000/C10)</f>
        <v>1021.93810358694</v>
      </c>
      <c r="E10" s="63" t="n">
        <f aca="false">$B$5</f>
        <v>6250</v>
      </c>
      <c r="F10" s="81" t="n">
        <f aca="false">IFERROR(INDEX($D$22:$D$26,MATCH(Dashboard!$B$5,$A$22:$A$26,0)),"")</f>
        <v>0.2</v>
      </c>
      <c r="G10" s="63" t="n">
        <f aca="false">E10*F10</f>
        <v>1250</v>
      </c>
      <c r="H10" s="72" t="n">
        <f aca="false">IF(D10="",0,G10*D10/1000)</f>
        <v>1277.42262948368</v>
      </c>
      <c r="I10" s="63" t="n">
        <f aca="false">E10-G10</f>
        <v>5000</v>
      </c>
    </row>
    <row r="11" customFormat="false" ht="21.75" hidden="false" customHeight="true" outlineLevel="0" collapsed="false">
      <c r="A11" s="47" t="s">
        <v>368</v>
      </c>
      <c r="B11" s="79" t="n">
        <f aca="false">IFERROR(INDEX($E$22:$E$26,MATCH(Dashboard!$B$5,$A$22:$A$26,0)),"")</f>
        <v>240</v>
      </c>
      <c r="C11" s="79" t="n">
        <f aca="false">IFERROR(INDEX($F$22:$F$26,MATCH(Dashboard!$B$5,$A$22:$A$26,0)),"")</f>
        <v>0</v>
      </c>
      <c r="D11" s="80" t="n">
        <f aca="false">IF(OR(C11="",C11=0),IF(OR(B11="",B11=0),"",IF('Growth &amp; Feed Model'!$B$29="Logistic (Sigmoidal)",'Growth &amp; Feed Model'!$B$30/(1+(('Growth &amp; Feed Model'!$B$30-'Growth &amp; Feed Model'!$B$8)/'Growth &amp; Feed Model'!$B$8)*EXP(-'Growth &amp; Feed Model'!$B$31*B11)),'Growth &amp; Feed Model'!$B$8*EXP('Growth &amp; Feed Model'!$B$13*B11))),1000/C11)</f>
        <v>1500</v>
      </c>
      <c r="E11" s="63" t="n">
        <f aca="false">I10</f>
        <v>5000</v>
      </c>
      <c r="F11" s="81" t="n">
        <f aca="false">IFERROR(INDEX($G$22:$G$26,MATCH(Dashboard!$B$5,$A$22:$A$26,0)),"")</f>
        <v>1</v>
      </c>
      <c r="G11" s="63" t="n">
        <f aca="false">E11*F11</f>
        <v>5000</v>
      </c>
      <c r="H11" s="72" t="n">
        <f aca="false">IF(D11="",0,G11*D11/1000)</f>
        <v>7500</v>
      </c>
      <c r="I11" s="63" t="n">
        <f aca="false">E11-G11</f>
        <v>0</v>
      </c>
    </row>
    <row r="12" customFormat="false" ht="21.75" hidden="false" customHeight="true" outlineLevel="0" collapsed="false">
      <c r="A12" s="47" t="s">
        <v>369</v>
      </c>
      <c r="B12" s="79" t="n">
        <f aca="false">IFERROR(INDEX($H$22:$H$26,MATCH(Dashboard!$B$5,$A$22:$A$26,0)),"")</f>
        <v>0</v>
      </c>
      <c r="C12" s="79" t="n">
        <f aca="false">IFERROR(INDEX($I$22:$I$26,MATCH(Dashboard!$B$5,$A$22:$A$26,0)),"")</f>
        <v>0</v>
      </c>
      <c r="D12" s="80" t="str">
        <f aca="false">IF(OR(C12="",C12=0),IF(OR(B12="",B12=0),"",IF('Growth &amp; Feed Model'!$B$29="Logistic (Sigmoidal)",'Growth &amp; Feed Model'!$B$30/(1+(('Growth &amp; Feed Model'!$B$30-'Growth &amp; Feed Model'!$B$8)/'Growth &amp; Feed Model'!$B$8)*EXP(-'Growth &amp; Feed Model'!$B$31*B12)),'Growth &amp; Feed Model'!$B$8*EXP('Growth &amp; Feed Model'!$B$13*B12))),1000/C12)</f>
        <v/>
      </c>
      <c r="E12" s="63" t="n">
        <f aca="false">I11</f>
        <v>0</v>
      </c>
      <c r="F12" s="81" t="n">
        <f aca="false">IFERROR(INDEX($J$22:$J$26,MATCH(Dashboard!$B$5,$A$22:$A$26,0)),"")</f>
        <v>0</v>
      </c>
      <c r="G12" s="63" t="n">
        <f aca="false">E12*F12</f>
        <v>0</v>
      </c>
      <c r="H12" s="72" t="n">
        <f aca="false">IF(D12="",0,G12*D12/1000)</f>
        <v>0</v>
      </c>
      <c r="I12" s="63" t="n">
        <f aca="false">E12-G12</f>
        <v>0</v>
      </c>
    </row>
    <row r="13" customFormat="false" ht="21.75" hidden="false" customHeight="true" outlineLevel="0" collapsed="false">
      <c r="A13" s="47" t="s">
        <v>370</v>
      </c>
      <c r="B13" s="79" t="n">
        <f aca="false">IFERROR(INDEX($K$22:$K$26,MATCH(Dashboard!$B$5,$A$22:$A$26,0)),"")</f>
        <v>0</v>
      </c>
      <c r="C13" s="79" t="n">
        <f aca="false">IFERROR(INDEX($L$22:$L$26,MATCH(Dashboard!$B$5,$A$22:$A$26,0)),"")</f>
        <v>0</v>
      </c>
      <c r="D13" s="80" t="str">
        <f aca="false">IF(OR(C13="",C13=0),IF(OR(B13="",B13=0),"",IF('Growth &amp; Feed Model'!$B$29="Logistic (Sigmoidal)",'Growth &amp; Feed Model'!$B$30/(1+(('Growth &amp; Feed Model'!$B$30-'Growth &amp; Feed Model'!$B$8)/'Growth &amp; Feed Model'!$B$8)*EXP(-'Growth &amp; Feed Model'!$B$31*B13)),'Growth &amp; Feed Model'!$B$8*EXP('Growth &amp; Feed Model'!$B$13*B13))),1000/C13)</f>
        <v/>
      </c>
      <c r="E13" s="63" t="n">
        <f aca="false">I12</f>
        <v>0</v>
      </c>
      <c r="F13" s="81" t="n">
        <f aca="false">IFERROR(INDEX($M$22:$M$26,MATCH(Dashboard!$B$5,$A$22:$A$26,0)),"")</f>
        <v>0</v>
      </c>
      <c r="G13" s="63" t="n">
        <f aca="false">E13*F13</f>
        <v>0</v>
      </c>
      <c r="H13" s="72" t="n">
        <f aca="false">IF(D13="",0,G13*D13/1000)</f>
        <v>0</v>
      </c>
      <c r="I13" s="63" t="n">
        <f aca="false">E13-G13</f>
        <v>0</v>
      </c>
    </row>
    <row r="15" customFormat="false" ht="25.5" hidden="false" customHeight="true" outlineLevel="0" collapsed="false">
      <c r="A15" s="35" t="s">
        <v>371</v>
      </c>
      <c r="B15" s="36" t="n">
        <f aca="false">SUM(H10:H13)</f>
        <v>8777.42262948368</v>
      </c>
      <c r="C15" s="82" t="s">
        <v>141</v>
      </c>
      <c r="D15" s="83" t="s">
        <v>372</v>
      </c>
      <c r="E15" s="84"/>
    </row>
    <row r="16" customFormat="false" ht="25.5" hidden="false" customHeight="true" outlineLevel="0" collapsed="false">
      <c r="A16" s="47" t="s">
        <v>373</v>
      </c>
      <c r="B16" s="85" t="n">
        <f aca="false">B15-B6</f>
        <v>1277.42262948368</v>
      </c>
      <c r="C16" s="23" t="s">
        <v>141</v>
      </c>
      <c r="D16" s="24" t="s">
        <v>374</v>
      </c>
    </row>
    <row r="17" customFormat="false" ht="25.5" hidden="false" customHeight="true" outlineLevel="0" collapsed="false">
      <c r="A17" s="47" t="s">
        <v>375</v>
      </c>
      <c r="B17" s="86" t="n">
        <f aca="false">B16/B6</f>
        <v>0.17032301726449</v>
      </c>
      <c r="C17" s="23" t="s">
        <v>299</v>
      </c>
      <c r="D17" s="24"/>
    </row>
    <row r="19" customFormat="false" ht="19.5" hidden="false" customHeight="true" outlineLevel="0" collapsed="false">
      <c r="A19" s="19" t="s">
        <v>376</v>
      </c>
      <c r="B19" s="20"/>
      <c r="C19" s="20"/>
      <c r="D19" s="20"/>
      <c r="E19" s="20"/>
      <c r="F19" s="20"/>
      <c r="G19" s="20"/>
      <c r="H19" s="20"/>
      <c r="I19" s="20"/>
      <c r="J19" s="20"/>
      <c r="K19" s="20"/>
      <c r="L19" s="20"/>
      <c r="M19" s="20"/>
    </row>
    <row r="20" customFormat="false" ht="39.75" hidden="false" customHeight="true" outlineLevel="0" collapsed="false">
      <c r="A20" s="60" t="s">
        <v>377</v>
      </c>
      <c r="B20" s="60"/>
      <c r="C20" s="60"/>
      <c r="D20" s="60"/>
      <c r="E20" s="60"/>
      <c r="F20" s="60"/>
      <c r="G20" s="60"/>
      <c r="H20" s="60"/>
      <c r="I20" s="60"/>
      <c r="J20" s="60"/>
      <c r="K20" s="60"/>
      <c r="L20" s="60"/>
      <c r="M20" s="60"/>
    </row>
    <row r="21" customFormat="false" ht="27.75" hidden="false" customHeight="true" outlineLevel="0" collapsed="false">
      <c r="A21" s="8" t="s">
        <v>98</v>
      </c>
      <c r="B21" s="8" t="s">
        <v>378</v>
      </c>
      <c r="C21" s="8" t="s">
        <v>379</v>
      </c>
      <c r="D21" s="8" t="s">
        <v>380</v>
      </c>
      <c r="E21" s="8" t="s">
        <v>381</v>
      </c>
      <c r="F21" s="8" t="s">
        <v>382</v>
      </c>
      <c r="G21" s="8" t="s">
        <v>383</v>
      </c>
      <c r="H21" s="8" t="s">
        <v>384</v>
      </c>
      <c r="I21" s="8" t="s">
        <v>385</v>
      </c>
      <c r="J21" s="8" t="s">
        <v>386</v>
      </c>
      <c r="K21" s="8" t="s">
        <v>387</v>
      </c>
      <c r="L21" s="8" t="s">
        <v>388</v>
      </c>
      <c r="M21" s="8" t="s">
        <v>389</v>
      </c>
    </row>
    <row r="22" customFormat="false" ht="19.5" hidden="false" customHeight="true" outlineLevel="0" collapsed="false">
      <c r="A22" s="47" t="s">
        <v>99</v>
      </c>
      <c r="B22" s="66" t="n">
        <v>200</v>
      </c>
      <c r="C22" s="66"/>
      <c r="D22" s="49" t="n">
        <v>0.2</v>
      </c>
      <c r="E22" s="66" t="n">
        <v>240</v>
      </c>
      <c r="F22" s="66"/>
      <c r="G22" s="49" t="n">
        <v>1</v>
      </c>
      <c r="H22" s="66"/>
      <c r="I22" s="66"/>
      <c r="J22" s="49"/>
      <c r="K22" s="66"/>
      <c r="L22" s="66"/>
      <c r="M22" s="49"/>
    </row>
    <row r="23" customFormat="false" ht="19.5" hidden="false" customHeight="true" outlineLevel="0" collapsed="false">
      <c r="A23" s="47" t="s">
        <v>221</v>
      </c>
      <c r="B23" s="66"/>
      <c r="C23" s="66"/>
      <c r="D23" s="49"/>
      <c r="E23" s="66" t="n">
        <v>240</v>
      </c>
      <c r="F23" s="66"/>
      <c r="G23" s="49" t="n">
        <v>1</v>
      </c>
      <c r="H23" s="66"/>
      <c r="I23" s="66"/>
      <c r="J23" s="49"/>
      <c r="K23" s="66"/>
      <c r="L23" s="66"/>
      <c r="M23" s="49"/>
    </row>
    <row r="24" customFormat="false" ht="19.5" hidden="false" customHeight="true" outlineLevel="0" collapsed="false">
      <c r="A24" s="47" t="s">
        <v>225</v>
      </c>
      <c r="B24" s="66"/>
      <c r="C24" s="66"/>
      <c r="D24" s="49"/>
      <c r="E24" s="66" t="n">
        <v>240</v>
      </c>
      <c r="F24" s="66"/>
      <c r="G24" s="49" t="n">
        <v>1</v>
      </c>
      <c r="H24" s="66"/>
      <c r="I24" s="66"/>
      <c r="J24" s="49"/>
      <c r="K24" s="66"/>
      <c r="L24" s="66"/>
      <c r="M24" s="49"/>
    </row>
    <row r="25" customFormat="false" ht="19.5" hidden="false" customHeight="true" outlineLevel="0" collapsed="false">
      <c r="A25" s="47" t="s">
        <v>228</v>
      </c>
      <c r="B25" s="66" t="n">
        <v>70</v>
      </c>
      <c r="C25" s="66" t="n">
        <v>80</v>
      </c>
      <c r="D25" s="49" t="n">
        <v>0.2</v>
      </c>
      <c r="E25" s="66" t="n">
        <v>85</v>
      </c>
      <c r="F25" s="66" t="n">
        <v>60</v>
      </c>
      <c r="G25" s="49" t="n">
        <v>0.25</v>
      </c>
      <c r="H25" s="66" t="n">
        <v>100</v>
      </c>
      <c r="I25" s="66" t="n">
        <v>40</v>
      </c>
      <c r="J25" s="49" t="n">
        <v>0.3</v>
      </c>
      <c r="K25" s="66" t="n">
        <v>120</v>
      </c>
      <c r="L25" s="66" t="n">
        <v>30</v>
      </c>
      <c r="M25" s="49" t="n">
        <v>1</v>
      </c>
    </row>
    <row r="26" customFormat="false" ht="19.5" hidden="false" customHeight="true" outlineLevel="0" collapsed="false">
      <c r="A26" s="47" t="s">
        <v>231</v>
      </c>
      <c r="B26" s="66" t="n">
        <v>100</v>
      </c>
      <c r="C26" s="66" t="n">
        <v>30</v>
      </c>
      <c r="D26" s="49" t="n">
        <v>0.4</v>
      </c>
      <c r="E26" s="66" t="n">
        <v>150</v>
      </c>
      <c r="F26" s="66" t="n">
        <v>15</v>
      </c>
      <c r="G26" s="49" t="n">
        <v>1</v>
      </c>
      <c r="H26" s="66"/>
      <c r="I26" s="66"/>
      <c r="J26" s="49"/>
      <c r="K26" s="66"/>
      <c r="L26" s="66"/>
      <c r="M26" s="49"/>
    </row>
  </sheetData>
  <mergeCells count="4">
    <mergeCell ref="A1:I1"/>
    <mergeCell ref="A2:I2"/>
    <mergeCell ref="A3:I3"/>
    <mergeCell ref="A20:M20"/>
  </mergeCells>
  <conditionalFormatting sqref="B17">
    <cfRule type="cellIs" priority="2" operator="lessThan" aboveAverage="0" equalAverage="0" bottom="0" percent="0" rank="0" text="" dxfId="2">
      <formula>-0.2</formula>
    </cfRule>
    <cfRule type="cellIs" priority="3" operator="greaterThan" aboveAverage="0" equalAverage="0" bottom="0" percent="0" rank="0" text="" dxfId="2">
      <formula>0.2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6"/>
    <col collapsed="false" customWidth="true" hidden="false" outlineLevel="0" max="2" min="2" style="1" width="16.01"/>
    <col collapsed="false" customWidth="true" hidden="false" outlineLevel="0" max="3" min="3" style="1" width="13.99"/>
    <col collapsed="false" customWidth="true" hidden="false" outlineLevel="0" max="4" min="4" style="1" width="46"/>
  </cols>
  <sheetData>
    <row r="1" customFormat="false" ht="17.25" hidden="false" customHeight="true" outlineLevel="0" collapsed="false">
      <c r="A1" s="46" t="s">
        <v>390</v>
      </c>
      <c r="B1" s="46"/>
      <c r="C1" s="46"/>
      <c r="D1" s="46"/>
    </row>
    <row r="4" customFormat="false" ht="19.5" hidden="false" customHeight="true" outlineLevel="0" collapsed="false">
      <c r="A4" s="19" t="s">
        <v>391</v>
      </c>
      <c r="B4" s="20"/>
      <c r="C4" s="20"/>
      <c r="D4" s="20"/>
    </row>
    <row r="5" customFormat="false" ht="25.5" hidden="false" customHeight="true" outlineLevel="0" collapsed="false">
      <c r="A5" s="47" t="s">
        <v>152</v>
      </c>
      <c r="B5" s="63" t="n">
        <f aca="false">IF(Dashboard!$B$29="",'Growth &amp; Feed Model'!B25,Dashboard!$B$29)</f>
        <v>20800.2666160319</v>
      </c>
      <c r="C5" s="23" t="s">
        <v>141</v>
      </c>
      <c r="D5" s="24" t="s">
        <v>392</v>
      </c>
    </row>
    <row r="6" customFormat="false" ht="25.5" hidden="false" customHeight="true" outlineLevel="0" collapsed="false">
      <c r="A6" s="47" t="s">
        <v>138</v>
      </c>
      <c r="B6" s="51" t="n">
        <f aca="false">Dashboard!$B$27</f>
        <v>0.3925</v>
      </c>
      <c r="C6" s="23" t="s">
        <v>299</v>
      </c>
      <c r="D6" s="24"/>
    </row>
    <row r="7" customFormat="false" ht="25.5" hidden="false" customHeight="true" outlineLevel="0" collapsed="false">
      <c r="A7" s="47" t="s">
        <v>139</v>
      </c>
      <c r="B7" s="51" t="n">
        <f aca="false">Dashboard!$B$28</f>
        <v>0.038928</v>
      </c>
      <c r="C7" s="23" t="s">
        <v>299</v>
      </c>
      <c r="D7" s="24"/>
    </row>
    <row r="8" customFormat="false" ht="25.5" hidden="false" customHeight="true" outlineLevel="0" collapsed="false">
      <c r="A8" s="47" t="s">
        <v>393</v>
      </c>
      <c r="B8" s="32" t="n">
        <f aca="false">Dashboard!$B$26</f>
        <v>0.615</v>
      </c>
      <c r="C8" s="23" t="s">
        <v>168</v>
      </c>
      <c r="D8" s="24"/>
    </row>
    <row r="9" customFormat="false" ht="15" hidden="false" customHeight="true" outlineLevel="0" collapsed="false">
      <c r="A9" s="1" t="s">
        <v>394</v>
      </c>
      <c r="B9" s="44" t="str">
        <f aca="false">IF(Dashboard!$B$29="","MODELED","MEASURED")</f>
        <v>MODELED</v>
      </c>
      <c r="C9" s="1" t="s">
        <v>186</v>
      </c>
    </row>
    <row r="10" customFormat="false" ht="19.5" hidden="false" customHeight="true" outlineLevel="0" collapsed="false">
      <c r="A10" s="19" t="s">
        <v>395</v>
      </c>
      <c r="B10" s="20"/>
      <c r="C10" s="20"/>
      <c r="D10" s="20"/>
    </row>
    <row r="11" customFormat="false" ht="25.5" hidden="false" customHeight="true" outlineLevel="0" collapsed="false">
      <c r="A11" s="21" t="s">
        <v>396</v>
      </c>
      <c r="B11" s="55" t="n">
        <v>0.22</v>
      </c>
      <c r="C11" s="23" t="s">
        <v>287</v>
      </c>
      <c r="D11" s="24" t="s">
        <v>397</v>
      </c>
    </row>
    <row r="12" customFormat="false" ht="25.5" hidden="false" customHeight="true" outlineLevel="0" collapsed="false">
      <c r="A12" s="21" t="s">
        <v>398</v>
      </c>
      <c r="B12" s="55" t="n">
        <v>0.25</v>
      </c>
      <c r="C12" s="23" t="s">
        <v>287</v>
      </c>
      <c r="D12" s="24" t="s">
        <v>399</v>
      </c>
    </row>
    <row r="14" customFormat="false" ht="19.5" hidden="false" customHeight="true" outlineLevel="0" collapsed="false">
      <c r="A14" s="19" t="s">
        <v>400</v>
      </c>
      <c r="B14" s="20"/>
      <c r="C14" s="20"/>
      <c r="D14" s="20"/>
    </row>
    <row r="15" customFormat="false" ht="25.5" hidden="false" customHeight="true" outlineLevel="0" collapsed="false">
      <c r="A15" s="21" t="s">
        <v>401</v>
      </c>
      <c r="B15" s="87" t="n">
        <f aca="false">B5*B8/1000</f>
        <v>12.7921639688596</v>
      </c>
      <c r="C15" s="23" t="s">
        <v>160</v>
      </c>
      <c r="D15" s="24" t="s">
        <v>402</v>
      </c>
    </row>
    <row r="16" customFormat="false" ht="25.5" hidden="false" customHeight="true" outlineLevel="0" collapsed="false">
      <c r="A16" s="47" t="s">
        <v>403</v>
      </c>
      <c r="B16" s="63" t="n">
        <f aca="false">B5*B6</f>
        <v>8164.10464679254</v>
      </c>
      <c r="C16" s="23" t="s">
        <v>156</v>
      </c>
      <c r="D16" s="24" t="s">
        <v>404</v>
      </c>
    </row>
    <row r="17" customFormat="false" ht="25.5" hidden="false" customHeight="true" outlineLevel="0" collapsed="false">
      <c r="A17" s="47" t="s">
        <v>405</v>
      </c>
      <c r="B17" s="63" t="n">
        <f aca="false">B16*B11</f>
        <v>1796.10302229436</v>
      </c>
      <c r="C17" s="23" t="s">
        <v>156</v>
      </c>
      <c r="D17" s="24"/>
    </row>
    <row r="18" customFormat="false" ht="25.5" hidden="false" customHeight="true" outlineLevel="0" collapsed="false">
      <c r="A18" s="21" t="s">
        <v>406</v>
      </c>
      <c r="B18" s="72" t="n">
        <f aca="false">B16-B17</f>
        <v>6368.00162449818</v>
      </c>
      <c r="C18" s="23" t="s">
        <v>156</v>
      </c>
      <c r="D18" s="24" t="s">
        <v>407</v>
      </c>
    </row>
    <row r="19" customFormat="false" ht="25.5" hidden="false" customHeight="true" outlineLevel="0" collapsed="false">
      <c r="A19" s="47" t="s">
        <v>408</v>
      </c>
      <c r="B19" s="63" t="n">
        <f aca="false">B5*B7</f>
        <v>809.712778828892</v>
      </c>
      <c r="C19" s="23" t="s">
        <v>409</v>
      </c>
      <c r="D19" s="24" t="s">
        <v>410</v>
      </c>
    </row>
    <row r="20" customFormat="false" ht="25.5" hidden="false" customHeight="true" outlineLevel="0" collapsed="false">
      <c r="A20" s="47" t="s">
        <v>411</v>
      </c>
      <c r="B20" s="63" t="n">
        <f aca="false">B19*B12</f>
        <v>202.428194707223</v>
      </c>
      <c r="C20" s="23" t="s">
        <v>409</v>
      </c>
      <c r="D20" s="24"/>
    </row>
    <row r="21" customFormat="false" ht="25.5" hidden="false" customHeight="true" outlineLevel="0" collapsed="false">
      <c r="A21" s="21" t="s">
        <v>412</v>
      </c>
      <c r="B21" s="72" t="n">
        <f aca="false">B19-B20</f>
        <v>607.284584121669</v>
      </c>
      <c r="C21" s="23" t="s">
        <v>409</v>
      </c>
      <c r="D21" s="24" t="s">
        <v>407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50.04"/>
    <col collapsed="false" customWidth="true" hidden="false" outlineLevel="0" max="2" min="2" style="1" width="16.01"/>
    <col collapsed="false" customWidth="true" hidden="false" outlineLevel="0" max="3" min="3" style="1" width="13.99"/>
    <col collapsed="false" customWidth="true" hidden="false" outlineLevel="0" max="4" min="4" style="1" width="46"/>
    <col collapsed="false" customWidth="true" hidden="false" outlineLevel="0" max="6" min="6" style="1" width="30"/>
    <col collapsed="false" customWidth="true" hidden="false" outlineLevel="0" max="7" min="7" style="1" width="18"/>
    <col collapsed="false" customWidth="true" hidden="false" outlineLevel="0" max="8" min="8" style="1" width="14"/>
  </cols>
  <sheetData>
    <row r="1" customFormat="false" ht="17.25" hidden="false" customHeight="true" outlineLevel="0" collapsed="false">
      <c r="A1" s="46" t="s">
        <v>413</v>
      </c>
      <c r="B1" s="46"/>
      <c r="C1" s="46"/>
      <c r="D1" s="46"/>
    </row>
    <row r="2" customFormat="false" ht="15" hidden="false" customHeight="true" outlineLevel="0" collapsed="false">
      <c r="A2" s="17" t="s">
        <v>414</v>
      </c>
      <c r="B2" s="17"/>
      <c r="C2" s="17"/>
      <c r="D2" s="17"/>
    </row>
    <row r="4" customFormat="false" ht="19.5" hidden="false" customHeight="true" outlineLevel="0" collapsed="false">
      <c r="A4" s="19" t="s">
        <v>391</v>
      </c>
      <c r="B4" s="20"/>
      <c r="C4" s="20"/>
      <c r="D4" s="20"/>
    </row>
    <row r="5" customFormat="false" ht="25.5" hidden="false" customHeight="true" outlineLevel="0" collapsed="false">
      <c r="A5" s="47" t="s">
        <v>158</v>
      </c>
      <c r="B5" s="63" t="n">
        <f aca="false">'Feed Emission Model'!B18</f>
        <v>6368.00162449818</v>
      </c>
      <c r="C5" s="23" t="s">
        <v>156</v>
      </c>
      <c r="D5" s="24" t="s">
        <v>415</v>
      </c>
    </row>
    <row r="6" customFormat="false" ht="25.5" hidden="false" customHeight="true" outlineLevel="0" collapsed="false">
      <c r="A6" s="47" t="s">
        <v>416</v>
      </c>
      <c r="B6" s="63" t="n">
        <f aca="false">'Feed Emission Model'!B21</f>
        <v>607.284584121669</v>
      </c>
      <c r="C6" s="23" t="s">
        <v>409</v>
      </c>
      <c r="D6" s="24" t="s">
        <v>415</v>
      </c>
    </row>
    <row r="8" customFormat="false" ht="19.5" hidden="false" customHeight="true" outlineLevel="0" collapsed="false">
      <c r="A8" s="19" t="s">
        <v>417</v>
      </c>
      <c r="B8" s="20"/>
      <c r="C8" s="20"/>
      <c r="D8" s="20"/>
    </row>
    <row r="9" customFormat="false" ht="45.75" hidden="false" customHeight="true" outlineLevel="0" collapsed="false">
      <c r="A9" s="21" t="s">
        <v>418</v>
      </c>
      <c r="B9" s="55" t="n">
        <f aca="false">IF(COUNT('Water Quality &amp; Plankton Log'!$A$6:$A$65)=0,20%,IF(AND($G$44&gt;=4,COUNTIF('Water Quality &amp; Plankton Log'!$E$6:$E$65,"Detected")=0),12%,IF(AND($G$44&lt;3,COUNTIF('Water Quality &amp; Plankton Log'!$E$6:$E$65,"Detected")&gt;0),30%,20%)))</f>
        <v>0.2</v>
      </c>
      <c r="C9" s="23" t="s">
        <v>287</v>
      </c>
      <c r="D9" s="11" t="s">
        <v>419</v>
      </c>
    </row>
    <row r="10" customFormat="false" ht="25.5" hidden="false" customHeight="true" outlineLevel="0" collapsed="false">
      <c r="A10" s="21" t="s">
        <v>420</v>
      </c>
      <c r="B10" s="55" t="n">
        <v>0.25</v>
      </c>
      <c r="C10" s="23" t="s">
        <v>287</v>
      </c>
      <c r="D10" s="24" t="s">
        <v>421</v>
      </c>
    </row>
    <row r="11" customFormat="false" ht="25.5" hidden="false" customHeight="true" outlineLevel="0" collapsed="false">
      <c r="A11" s="21" t="s">
        <v>422</v>
      </c>
      <c r="B11" s="30" t="n">
        <f aca="false">IF(B46="0.71%",0.0071,IF(B46="1.8%",0.018,B47))*IF(AND(ISNUMBER($G$45),$G$45&gt;0.5),1.2,1)</f>
        <v>0.008</v>
      </c>
      <c r="C11" s="23" t="s">
        <v>287</v>
      </c>
      <c r="D11" s="11" t="s">
        <v>423</v>
      </c>
    </row>
    <row r="12" customFormat="false" ht="25.5" hidden="false" customHeight="true" outlineLevel="0" collapsed="false">
      <c r="A12" s="21" t="s">
        <v>424</v>
      </c>
      <c r="B12" s="88" t="n">
        <f aca="false">IF(B44="AR6",27,28)</f>
        <v>28</v>
      </c>
      <c r="C12" s="23" t="s">
        <v>304</v>
      </c>
      <c r="D12" s="11" t="s">
        <v>425</v>
      </c>
    </row>
    <row r="13" customFormat="false" ht="25.5" hidden="false" customHeight="true" outlineLevel="0" collapsed="false">
      <c r="A13" s="21" t="s">
        <v>426</v>
      </c>
      <c r="B13" s="88" t="n">
        <f aca="false">IF(B44="AR6",273,265)</f>
        <v>265</v>
      </c>
      <c r="C13" s="23" t="s">
        <v>304</v>
      </c>
      <c r="D13" s="11" t="s">
        <v>425</v>
      </c>
    </row>
    <row r="15" customFormat="false" ht="19.5" hidden="false" customHeight="true" outlineLevel="0" collapsed="false">
      <c r="A15" s="19" t="s">
        <v>427</v>
      </c>
      <c r="B15" s="20"/>
      <c r="C15" s="20"/>
      <c r="D15" s="20"/>
    </row>
    <row r="16" customFormat="false" ht="25.5" hidden="false" customHeight="true" outlineLevel="0" collapsed="false">
      <c r="A16" s="21" t="s">
        <v>428</v>
      </c>
      <c r="B16" s="22"/>
      <c r="C16" s="23" t="s">
        <v>429</v>
      </c>
      <c r="D16" s="24" t="s">
        <v>430</v>
      </c>
    </row>
    <row r="17" customFormat="false" ht="25.5" hidden="false" customHeight="true" outlineLevel="0" collapsed="false">
      <c r="A17" s="21" t="s">
        <v>431</v>
      </c>
      <c r="B17" s="22"/>
      <c r="C17" s="23" t="s">
        <v>429</v>
      </c>
      <c r="D17" s="24" t="s">
        <v>430</v>
      </c>
    </row>
    <row r="19" customFormat="false" ht="19.5" hidden="false" customHeight="true" outlineLevel="0" collapsed="false">
      <c r="A19" s="19" t="s">
        <v>432</v>
      </c>
      <c r="B19" s="20"/>
      <c r="C19" s="20"/>
      <c r="D19" s="20"/>
    </row>
    <row r="20" customFormat="false" ht="25.5" hidden="false" customHeight="true" outlineLevel="0" collapsed="false">
      <c r="A20" s="47" t="s">
        <v>433</v>
      </c>
      <c r="B20" s="63" t="n">
        <f aca="false">B5*(1-B50)*B9*B45</f>
        <v>1273.60032489964</v>
      </c>
      <c r="C20" s="23" t="s">
        <v>156</v>
      </c>
      <c r="D20" s="11" t="s">
        <v>434</v>
      </c>
    </row>
    <row r="21" customFormat="false" ht="25.5" hidden="false" customHeight="true" outlineLevel="0" collapsed="false">
      <c r="A21" s="47" t="s">
        <v>435</v>
      </c>
      <c r="B21" s="69" t="n">
        <f aca="false">B20*16/12</f>
        <v>1698.13376653285</v>
      </c>
      <c r="C21" s="23" t="s">
        <v>436</v>
      </c>
      <c r="D21" s="24" t="s">
        <v>437</v>
      </c>
    </row>
    <row r="22" customFormat="false" ht="25.5" hidden="false" customHeight="true" outlineLevel="0" collapsed="false">
      <c r="A22" s="47" t="s">
        <v>438</v>
      </c>
      <c r="B22" s="69" t="n">
        <f aca="false">B21*(1-B10)</f>
        <v>1273.60032489964</v>
      </c>
      <c r="C22" s="23" t="s">
        <v>436</v>
      </c>
      <c r="D22" s="24" t="s">
        <v>439</v>
      </c>
    </row>
    <row r="23" customFormat="false" ht="25.5" hidden="false" customHeight="true" outlineLevel="0" collapsed="false">
      <c r="A23" s="21" t="s">
        <v>440</v>
      </c>
      <c r="B23" s="71" t="n">
        <f aca="false">IF(B16="",B22,B16)</f>
        <v>1273.60032489964</v>
      </c>
      <c r="C23" s="23" t="s">
        <v>436</v>
      </c>
      <c r="D23" s="24"/>
    </row>
    <row r="24" customFormat="false" ht="25.5" hidden="false" customHeight="true" outlineLevel="0" collapsed="false">
      <c r="A24" s="21" t="s">
        <v>441</v>
      </c>
      <c r="B24" s="87" t="n">
        <f aca="false">B23*B12/1000</f>
        <v>35.6608090971898</v>
      </c>
      <c r="C24" s="23" t="s">
        <v>160</v>
      </c>
      <c r="D24" s="24"/>
    </row>
    <row r="26" customFormat="false" ht="19.5" hidden="false" customHeight="true" outlineLevel="0" collapsed="false">
      <c r="A26" s="19" t="s">
        <v>442</v>
      </c>
      <c r="B26" s="20"/>
      <c r="C26" s="20"/>
      <c r="D26" s="20"/>
    </row>
    <row r="27" customFormat="false" ht="25.5" hidden="false" customHeight="true" outlineLevel="0" collapsed="false">
      <c r="A27" s="47" t="s">
        <v>443</v>
      </c>
      <c r="B27" s="69" t="n">
        <f aca="false">B6*B11*(44/28)</f>
        <v>7.63443477181526</v>
      </c>
      <c r="C27" s="23" t="s">
        <v>444</v>
      </c>
      <c r="D27" s="24" t="s">
        <v>445</v>
      </c>
    </row>
    <row r="28" customFormat="false" ht="25.5" hidden="false" customHeight="true" outlineLevel="0" collapsed="false">
      <c r="A28" s="21" t="s">
        <v>446</v>
      </c>
      <c r="B28" s="71" t="n">
        <f aca="false">IF(B17="",B27,B17)</f>
        <v>7.63443477181526</v>
      </c>
      <c r="C28" s="23" t="s">
        <v>444</v>
      </c>
      <c r="D28" s="24"/>
    </row>
    <row r="29" customFormat="false" ht="25.5" hidden="false" customHeight="true" outlineLevel="0" collapsed="false">
      <c r="A29" s="21" t="s">
        <v>447</v>
      </c>
      <c r="B29" s="87" t="n">
        <f aca="false">B28*B13/1000</f>
        <v>2.02312521453104</v>
      </c>
      <c r="C29" s="23" t="s">
        <v>160</v>
      </c>
      <c r="D29" s="24"/>
    </row>
    <row r="31" customFormat="false" ht="19.5" hidden="false" customHeight="true" outlineLevel="0" collapsed="false">
      <c r="A31" s="19" t="s">
        <v>448</v>
      </c>
      <c r="B31" s="20"/>
      <c r="C31" s="20"/>
      <c r="D31" s="20"/>
    </row>
    <row r="32" customFormat="false" ht="25.5" hidden="false" customHeight="true" outlineLevel="0" collapsed="false">
      <c r="A32" s="21" t="s">
        <v>449</v>
      </c>
      <c r="B32" s="22" t="n">
        <v>200</v>
      </c>
      <c r="C32" s="23" t="s">
        <v>429</v>
      </c>
      <c r="D32" s="24" t="s">
        <v>450</v>
      </c>
    </row>
    <row r="33" customFormat="false" ht="25.5" hidden="false" customHeight="true" outlineLevel="0" collapsed="false">
      <c r="A33" s="21" t="s">
        <v>451</v>
      </c>
      <c r="B33" s="57" t="n">
        <v>0.12</v>
      </c>
      <c r="C33" s="23" t="s">
        <v>452</v>
      </c>
      <c r="D33" s="24" t="s">
        <v>453</v>
      </c>
    </row>
    <row r="34" customFormat="false" ht="25.5" hidden="false" customHeight="true" outlineLevel="0" collapsed="false">
      <c r="A34" s="21" t="s">
        <v>454</v>
      </c>
      <c r="B34" s="22" t="n">
        <v>0</v>
      </c>
      <c r="C34" s="23" t="s">
        <v>455</v>
      </c>
      <c r="D34" s="24" t="s">
        <v>456</v>
      </c>
    </row>
    <row r="35" customFormat="false" ht="25.5" hidden="false" customHeight="true" outlineLevel="0" collapsed="false">
      <c r="A35" s="21" t="s">
        <v>457</v>
      </c>
      <c r="B35" s="56" t="n">
        <v>0.01</v>
      </c>
      <c r="C35" s="23" t="s">
        <v>287</v>
      </c>
      <c r="D35" s="24" t="s">
        <v>458</v>
      </c>
    </row>
    <row r="37" customFormat="false" ht="19.5" hidden="false" customHeight="true" outlineLevel="0" collapsed="false">
      <c r="A37" s="19" t="s">
        <v>459</v>
      </c>
      <c r="B37" s="20"/>
      <c r="C37" s="20"/>
      <c r="D37" s="20"/>
    </row>
    <row r="38" customFormat="false" ht="25.5" hidden="false" customHeight="true" outlineLevel="0" collapsed="false">
      <c r="A38" s="47" t="s">
        <v>460</v>
      </c>
      <c r="B38" s="48" t="n">
        <f aca="false">B32/1000*B33</f>
        <v>0.024</v>
      </c>
      <c r="C38" s="23" t="s">
        <v>160</v>
      </c>
      <c r="D38" s="24" t="s">
        <v>461</v>
      </c>
    </row>
    <row r="39" customFormat="false" ht="25.5" hidden="false" customHeight="true" outlineLevel="0" collapsed="false">
      <c r="A39" s="47" t="s">
        <v>462</v>
      </c>
      <c r="B39" s="69" t="n">
        <f aca="false">B34*B35*(44/28)</f>
        <v>0</v>
      </c>
      <c r="C39" s="23" t="s">
        <v>444</v>
      </c>
      <c r="D39" s="24" t="s">
        <v>463</v>
      </c>
    </row>
    <row r="40" customFormat="false" ht="25.5" hidden="false" customHeight="true" outlineLevel="0" collapsed="false">
      <c r="A40" s="47" t="s">
        <v>464</v>
      </c>
      <c r="B40" s="48" t="n">
        <f aca="false">B39*B13/1000</f>
        <v>0</v>
      </c>
      <c r="C40" s="23" t="s">
        <v>160</v>
      </c>
      <c r="D40" s="24" t="s">
        <v>465</v>
      </c>
    </row>
    <row r="41" customFormat="false" ht="25.5" hidden="false" customHeight="true" outlineLevel="0" collapsed="false">
      <c r="A41" s="35" t="s">
        <v>466</v>
      </c>
      <c r="B41" s="38" t="n">
        <f aca="false">B38+B40</f>
        <v>0.024</v>
      </c>
      <c r="C41" s="82" t="s">
        <v>160</v>
      </c>
      <c r="D41" s="83"/>
    </row>
    <row r="43" customFormat="false" ht="19.5" hidden="false" customHeight="true" outlineLevel="0" collapsed="false">
      <c r="A43" s="19" t="s">
        <v>467</v>
      </c>
      <c r="B43" s="20"/>
      <c r="C43" s="20"/>
      <c r="D43" s="20"/>
      <c r="F43" s="40" t="s">
        <v>468</v>
      </c>
      <c r="G43" s="40"/>
    </row>
    <row r="44" customFormat="false" ht="25.5" hidden="false" customHeight="true" outlineLevel="0" collapsed="false">
      <c r="A44" s="21" t="s">
        <v>469</v>
      </c>
      <c r="B44" s="89" t="str">
        <f aca="false">Dashboard!$B$14</f>
        <v>AR5</v>
      </c>
      <c r="C44" s="23" t="s">
        <v>124</v>
      </c>
      <c r="D44" s="11" t="s">
        <v>470</v>
      </c>
      <c r="F44" s="1" t="s">
        <v>471</v>
      </c>
      <c r="G44" s="67" t="str">
        <f aca="false">IFERROR(AVERAGE('Water Quality &amp; Plankton Log'!$C$6:$C$65),"")</f>
        <v/>
      </c>
      <c r="H44" s="1" t="s">
        <v>472</v>
      </c>
    </row>
    <row r="45" customFormat="false" ht="25.5" hidden="false" customHeight="true" outlineLevel="0" collapsed="false">
      <c r="A45" s="21" t="s">
        <v>473</v>
      </c>
      <c r="B45" s="70" t="n">
        <f aca="false">IF('Carbon Accounting'!$B$52&gt;30,1.25,IF('Carbon Accounting'!$B$52&gt;20,1.15,1))</f>
        <v>1.25</v>
      </c>
      <c r="C45" s="23" t="s">
        <v>304</v>
      </c>
      <c r="D45" s="24" t="s">
        <v>474</v>
      </c>
      <c r="F45" s="1" t="s">
        <v>475</v>
      </c>
      <c r="G45" s="58" t="str">
        <f aca="false">IFERROR(AVERAGE('Water Quality &amp; Plankton Log'!$I$6:$I$65),"")</f>
        <v/>
      </c>
      <c r="H45" s="1" t="s">
        <v>287</v>
      </c>
    </row>
    <row r="46" customFormat="false" ht="25.5" hidden="false" customHeight="true" outlineLevel="0" collapsed="false">
      <c r="A46" s="21" t="s">
        <v>476</v>
      </c>
      <c r="B46" s="25" t="s">
        <v>477</v>
      </c>
      <c r="C46" s="23" t="s">
        <v>478</v>
      </c>
      <c r="D46" s="24" t="s">
        <v>479</v>
      </c>
      <c r="F46" s="1" t="s">
        <v>195</v>
      </c>
      <c r="G46" s="58" t="n">
        <f aca="false">MIN(1,COUNT('Water Quality &amp; Plankton Log'!$A$6:$A$65)/MAX(1,ROUNDUP((Dashboard!$B$55-Dashboard!$B$54+1)/7,0)))</f>
        <v>0</v>
      </c>
      <c r="H46" s="1" t="s">
        <v>287</v>
      </c>
    </row>
    <row r="47" customFormat="false" ht="25.5" hidden="false" customHeight="true" outlineLevel="0" collapsed="false">
      <c r="A47" s="21" t="s">
        <v>480</v>
      </c>
      <c r="B47" s="90" t="n">
        <v>0.008</v>
      </c>
      <c r="C47" s="23" t="s">
        <v>287</v>
      </c>
      <c r="D47" s="24" t="s">
        <v>481</v>
      </c>
      <c r="F47" s="1" t="s">
        <v>482</v>
      </c>
      <c r="G47" s="44" t="str">
        <f aca="false">IF($G$46&lt;0.75,"REVIEW: WQ DATA &lt;75%",IF($B$9=12%,"LOW ANAEROBIC RISK",IF($B$9=30%,"HIGH ANAEROBIC RISK","INTERMEDIATE")))</f>
        <v>REVIEW: WQ DATA &lt;75%</v>
      </c>
      <c r="H47" s="1" t="s">
        <v>186</v>
      </c>
    </row>
    <row r="48" customFormat="false" ht="15" hidden="false" customHeight="true" outlineLevel="0" collapsed="false">
      <c r="F48" s="1" t="s">
        <v>483</v>
      </c>
      <c r="G48" s="64" t="n">
        <f aca="false">IF(AND(ISNUMBER($G$45),$G$45&gt;0.5),20%,0)</f>
        <v>0</v>
      </c>
      <c r="H48" s="1" t="s">
        <v>287</v>
      </c>
    </row>
    <row r="49" customFormat="false" ht="19.5" hidden="false" customHeight="true" outlineLevel="0" collapsed="false">
      <c r="A49" s="19" t="s">
        <v>484</v>
      </c>
      <c r="B49" s="20"/>
      <c r="C49" s="20"/>
      <c r="D49" s="20"/>
    </row>
    <row r="50" customFormat="false" ht="25.5" hidden="false" customHeight="true" outlineLevel="0" collapsed="false">
      <c r="A50" s="21" t="s">
        <v>485</v>
      </c>
      <c r="B50" s="81" t="n">
        <v>0.2</v>
      </c>
      <c r="C50" s="23" t="s">
        <v>287</v>
      </c>
      <c r="D50" s="24" t="s">
        <v>486</v>
      </c>
    </row>
    <row r="51" customFormat="false" ht="25.5" hidden="false" customHeight="true" outlineLevel="0" collapsed="false">
      <c r="A51" s="21" t="s">
        <v>487</v>
      </c>
      <c r="B51" s="25" t="n">
        <v>20</v>
      </c>
      <c r="C51" s="23" t="s">
        <v>488</v>
      </c>
      <c r="D51" s="24" t="s">
        <v>489</v>
      </c>
    </row>
    <row r="52" customFormat="false" ht="25.5" hidden="false" customHeight="true" outlineLevel="0" collapsed="false">
      <c r="A52" s="21" t="s">
        <v>490</v>
      </c>
      <c r="B52" s="70" t="n">
        <v>2</v>
      </c>
      <c r="C52" s="23" t="s">
        <v>491</v>
      </c>
      <c r="D52" s="24" t="s">
        <v>492</v>
      </c>
    </row>
    <row r="53" customFormat="false" ht="25.5" hidden="false" customHeight="true" outlineLevel="0" collapsed="false">
      <c r="A53" s="21" t="s">
        <v>493</v>
      </c>
      <c r="B53" s="87" t="n">
        <f aca="false">Dashboard!$B$10*B51*B52/1000</f>
        <v>0.04</v>
      </c>
      <c r="C53" s="23" t="s">
        <v>160</v>
      </c>
      <c r="D53" s="24" t="s">
        <v>494</v>
      </c>
    </row>
    <row r="55" customFormat="false" ht="19.5" hidden="false" customHeight="true" outlineLevel="0" collapsed="false">
      <c r="A55" s="73" t="s">
        <v>495</v>
      </c>
      <c r="B55" s="20"/>
      <c r="C55" s="20"/>
      <c r="D55" s="20"/>
      <c r="E55" s="20"/>
      <c r="F55" s="20"/>
      <c r="G55" s="20"/>
    </row>
    <row r="56" customFormat="false" ht="33.75" hidden="false" customHeight="true" outlineLevel="0" collapsed="false">
      <c r="A56" s="60" t="s">
        <v>496</v>
      </c>
      <c r="B56" s="60"/>
      <c r="C56" s="60"/>
      <c r="D56" s="60"/>
      <c r="E56" s="60"/>
      <c r="F56" s="60"/>
      <c r="G56" s="60"/>
    </row>
    <row r="57" customFormat="false" ht="30" hidden="false" customHeight="true" outlineLevel="0" collapsed="false">
      <c r="A57" s="8" t="s">
        <v>497</v>
      </c>
      <c r="B57" s="8" t="s">
        <v>498</v>
      </c>
      <c r="C57" s="8" t="s">
        <v>499</v>
      </c>
      <c r="D57" s="8" t="s">
        <v>500</v>
      </c>
      <c r="E57" s="8" t="s">
        <v>501</v>
      </c>
      <c r="F57" s="8" t="s">
        <v>502</v>
      </c>
      <c r="G57" s="8" t="s">
        <v>503</v>
      </c>
    </row>
    <row r="58" customFormat="false" ht="21.75" hidden="false" customHeight="true" outlineLevel="0" collapsed="false">
      <c r="A58" s="22"/>
      <c r="B58" s="22"/>
      <c r="C58" s="22"/>
      <c r="D58" s="22"/>
      <c r="E58" s="22"/>
      <c r="F58" s="22"/>
      <c r="G58" s="22"/>
    </row>
    <row r="59" customFormat="false" ht="21.75" hidden="false" customHeight="true" outlineLevel="0" collapsed="false">
      <c r="A59" s="22"/>
      <c r="B59" s="22"/>
      <c r="C59" s="22"/>
      <c r="D59" s="22"/>
      <c r="E59" s="22"/>
      <c r="F59" s="22"/>
      <c r="G59" s="22"/>
    </row>
    <row r="60" customFormat="false" ht="21.75" hidden="false" customHeight="true" outlineLevel="0" collapsed="false">
      <c r="A60" s="22"/>
      <c r="B60" s="22"/>
      <c r="C60" s="22"/>
      <c r="D60" s="22"/>
      <c r="E60" s="22"/>
      <c r="F60" s="22"/>
      <c r="G60" s="22"/>
    </row>
    <row r="61" customFormat="false" ht="21.75" hidden="false" customHeight="true" outlineLevel="0" collapsed="false">
      <c r="A61" s="22"/>
      <c r="B61" s="22"/>
      <c r="C61" s="22"/>
      <c r="D61" s="22"/>
      <c r="E61" s="22"/>
      <c r="F61" s="22"/>
      <c r="G61" s="22"/>
    </row>
  </sheetData>
  <mergeCells count="3">
    <mergeCell ref="A1:D1"/>
    <mergeCell ref="A2:D2"/>
    <mergeCell ref="A56:G56"/>
  </mergeCells>
  <dataValidations count="2">
    <dataValidation allowBlank="false" errorStyle="stop" operator="between" showDropDown="false" showErrorMessage="false" showInputMessage="false" sqref="B44" type="list">
      <formula1>"AR5,AR6"</formula1>
      <formula2>0</formula2>
    </dataValidation>
    <dataValidation allowBlank="false" errorStyle="stop" operator="between" showDropDown="false" showErrorMessage="false" showInputMessage="false" sqref="B46" type="list">
      <formula1>"0.71%,1.8%,Custom"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6"/>
    <col collapsed="false" customWidth="true" hidden="false" outlineLevel="0" max="2" min="2" style="1" width="16.01"/>
    <col collapsed="false" customWidth="true" hidden="false" outlineLevel="0" max="3" min="3" style="1" width="13.99"/>
    <col collapsed="false" customWidth="true" hidden="false" outlineLevel="0" max="4" min="4" style="1" width="46"/>
  </cols>
  <sheetData>
    <row r="1" customFormat="false" ht="17.25" hidden="false" customHeight="true" outlineLevel="0" collapsed="false">
      <c r="A1" s="46" t="s">
        <v>62</v>
      </c>
      <c r="B1" s="46"/>
      <c r="C1" s="46"/>
      <c r="D1" s="46"/>
    </row>
    <row r="2" customFormat="false" ht="15" hidden="false" customHeight="true" outlineLevel="0" collapsed="false">
      <c r="A2" s="17" t="s">
        <v>504</v>
      </c>
      <c r="B2" s="17"/>
      <c r="C2" s="17"/>
      <c r="D2" s="17"/>
    </row>
    <row r="4" customFormat="false" ht="19.5" hidden="false" customHeight="true" outlineLevel="0" collapsed="false">
      <c r="A4" s="19" t="s">
        <v>505</v>
      </c>
      <c r="B4" s="20"/>
      <c r="C4" s="20"/>
      <c r="D4" s="20"/>
    </row>
    <row r="5" customFormat="false" ht="25.5" hidden="false" customHeight="true" outlineLevel="0" collapsed="false">
      <c r="A5" s="21" t="s">
        <v>506</v>
      </c>
      <c r="B5" s="91" t="n">
        <f aca="false">Dashboard!$B$23</f>
        <v>0</v>
      </c>
      <c r="C5" s="23" t="s">
        <v>148</v>
      </c>
      <c r="D5" s="24"/>
    </row>
    <row r="7" customFormat="false" ht="19.5" hidden="false" customHeight="true" outlineLevel="0" collapsed="false">
      <c r="A7" s="19" t="s">
        <v>507</v>
      </c>
      <c r="B7" s="20"/>
      <c r="C7" s="20"/>
      <c r="D7" s="20"/>
    </row>
    <row r="8" customFormat="false" ht="25.5" hidden="false" customHeight="true" outlineLevel="0" collapsed="false">
      <c r="A8" s="21" t="s">
        <v>508</v>
      </c>
      <c r="B8" s="22" t="n">
        <v>2</v>
      </c>
      <c r="C8" s="23" t="s">
        <v>509</v>
      </c>
      <c r="D8" s="24"/>
    </row>
    <row r="9" customFormat="false" ht="25.5" hidden="false" customHeight="true" outlineLevel="0" collapsed="false">
      <c r="A9" s="21" t="s">
        <v>510</v>
      </c>
      <c r="B9" s="79" t="n">
        <f aca="false">IF(Dashboard!$B$5="IMC",0,IFERROR(INDEX($B$41:$B$45,MATCH(Dashboard!$B$5,$A$41:$A$45,0)),0))</f>
        <v>0</v>
      </c>
      <c r="C9" s="23" t="s">
        <v>511</v>
      </c>
      <c r="D9" s="24" t="s">
        <v>512</v>
      </c>
    </row>
    <row r="10" customFormat="false" ht="25.5" hidden="false" customHeight="true" outlineLevel="0" collapsed="false">
      <c r="A10" s="21" t="s">
        <v>513</v>
      </c>
      <c r="B10" s="79" t="n">
        <f aca="false">IF(Dashboard!$B$5="IMC",0,IFERROR(INDEX($C$41:$C$45,MATCH(Dashboard!$B$5,$A$41:$A$45,0)),0))</f>
        <v>0</v>
      </c>
      <c r="C10" s="23" t="s">
        <v>514</v>
      </c>
      <c r="D10" s="24"/>
    </row>
    <row r="11" customFormat="false" ht="25.5" hidden="false" customHeight="true" outlineLevel="0" collapsed="false">
      <c r="A11" s="21" t="s">
        <v>515</v>
      </c>
      <c r="B11" s="79" t="n">
        <f aca="false">IF(Dashboard!$B$5="IMC",0,IFERROR(INDEX($D$41:$D$45,MATCH(Dashboard!$B$5,$A$41:$A$45,0)),0))</f>
        <v>0</v>
      </c>
      <c r="C11" s="23" t="s">
        <v>516</v>
      </c>
      <c r="D11" s="24" t="s">
        <v>517</v>
      </c>
    </row>
    <row r="12" customFormat="false" ht="25.5" hidden="false" customHeight="true" outlineLevel="0" collapsed="false">
      <c r="A12" s="21" t="s">
        <v>518</v>
      </c>
      <c r="B12" s="79" t="n">
        <f aca="false">IF(Dashboard!$B$5="IMC",0,IFERROR(INDEX($E$41:$E$45,MATCH(Dashboard!$B$5,$A$41:$A$45,0)),0))</f>
        <v>0</v>
      </c>
      <c r="C12" s="23" t="s">
        <v>514</v>
      </c>
      <c r="D12" s="24"/>
    </row>
    <row r="14" customFormat="false" ht="19.5" hidden="false" customHeight="true" outlineLevel="0" collapsed="false">
      <c r="A14" s="19" t="s">
        <v>519</v>
      </c>
      <c r="B14" s="20"/>
      <c r="C14" s="20"/>
      <c r="D14" s="20"/>
    </row>
    <row r="15" customFormat="false" ht="25.5" hidden="false" customHeight="true" outlineLevel="0" collapsed="false">
      <c r="A15" s="21" t="s">
        <v>520</v>
      </c>
      <c r="B15" s="22" t="n">
        <v>500</v>
      </c>
      <c r="C15" s="23" t="s">
        <v>521</v>
      </c>
      <c r="D15" s="24"/>
    </row>
    <row r="16" customFormat="false" ht="25.5" hidden="false" customHeight="true" outlineLevel="0" collapsed="false">
      <c r="A16" s="21" t="s">
        <v>522</v>
      </c>
      <c r="B16" s="22" t="n">
        <v>200</v>
      </c>
      <c r="C16" s="23" t="s">
        <v>521</v>
      </c>
      <c r="D16" s="24"/>
    </row>
    <row r="17" customFormat="false" ht="25.5" hidden="false" customHeight="true" outlineLevel="0" collapsed="false">
      <c r="A17" s="21" t="s">
        <v>523</v>
      </c>
      <c r="B17" s="22" t="n">
        <v>500</v>
      </c>
      <c r="C17" s="23" t="s">
        <v>524</v>
      </c>
      <c r="D17" s="24" t="s">
        <v>525</v>
      </c>
    </row>
    <row r="18" customFormat="false" ht="25.5" hidden="false" customHeight="true" outlineLevel="0" collapsed="false">
      <c r="A18" s="21" t="s">
        <v>526</v>
      </c>
      <c r="B18" s="22" t="n">
        <v>0</v>
      </c>
      <c r="C18" s="23" t="s">
        <v>524</v>
      </c>
      <c r="D18" s="24" t="s">
        <v>527</v>
      </c>
    </row>
    <row r="20" customFormat="false" ht="19.5" hidden="false" customHeight="true" outlineLevel="0" collapsed="false">
      <c r="A20" s="19" t="s">
        <v>528</v>
      </c>
      <c r="B20" s="20"/>
      <c r="C20" s="20"/>
      <c r="D20" s="20"/>
      <c r="F20" s="40" t="s">
        <v>529</v>
      </c>
    </row>
    <row r="21" customFormat="false" ht="25.5" hidden="false" customHeight="true" outlineLevel="0" collapsed="false">
      <c r="A21" s="21" t="s">
        <v>530</v>
      </c>
      <c r="B21" s="22" t="n">
        <v>3</v>
      </c>
      <c r="C21" s="23" t="s">
        <v>531</v>
      </c>
      <c r="D21" s="24"/>
      <c r="F21" s="44" t="s">
        <v>532</v>
      </c>
    </row>
    <row r="22" customFormat="false" ht="25.5" hidden="false" customHeight="true" outlineLevel="0" collapsed="false">
      <c r="A22" s="21" t="s">
        <v>533</v>
      </c>
      <c r="B22" s="22" t="n">
        <v>0.71</v>
      </c>
      <c r="C22" s="23" t="s">
        <v>534</v>
      </c>
      <c r="D22" s="24" t="s">
        <v>535</v>
      </c>
      <c r="F22" s="40" t="s">
        <v>536</v>
      </c>
    </row>
    <row r="23" customFormat="false" ht="27.75" hidden="false" customHeight="true" outlineLevel="0" collapsed="false">
      <c r="A23" s="40" t="s">
        <v>537</v>
      </c>
      <c r="D23" s="1" t="s">
        <v>538</v>
      </c>
      <c r="F23" s="44" t="s">
        <v>539</v>
      </c>
    </row>
    <row r="24" customFormat="false" ht="19.5" hidden="false" customHeight="true" outlineLevel="0" collapsed="false">
      <c r="A24" s="19" t="s">
        <v>540</v>
      </c>
      <c r="B24" s="20"/>
      <c r="C24" s="20"/>
      <c r="D24" s="20"/>
    </row>
    <row r="25" customFormat="false" ht="25.5" hidden="false" customHeight="true" outlineLevel="0" collapsed="false">
      <c r="A25" s="47" t="s">
        <v>541</v>
      </c>
      <c r="B25" s="63" t="n">
        <f aca="false">IF(Dashboard!$B$5="IMC",0,B8*0.746*B9*B10)</f>
        <v>0</v>
      </c>
      <c r="C25" s="23" t="s">
        <v>524</v>
      </c>
      <c r="D25" s="24" t="s">
        <v>542</v>
      </c>
    </row>
    <row r="26" customFormat="false" ht="25.5" hidden="false" customHeight="true" outlineLevel="0" collapsed="false">
      <c r="A26" s="47" t="s">
        <v>543</v>
      </c>
      <c r="B26" s="63" t="n">
        <f aca="false">IF(Dashboard!$B$5="IMC",0,B11*B12)</f>
        <v>0</v>
      </c>
      <c r="C26" s="23" t="s">
        <v>524</v>
      </c>
      <c r="D26" s="24"/>
    </row>
    <row r="27" customFormat="false" ht="25.5" hidden="false" customHeight="true" outlineLevel="0" collapsed="false">
      <c r="A27" s="47" t="s">
        <v>544</v>
      </c>
      <c r="B27" s="63" t="n">
        <f aca="false">MAX(0,B25+B26+B17-B18)</f>
        <v>500</v>
      </c>
      <c r="C27" s="23" t="s">
        <v>524</v>
      </c>
      <c r="D27" s="24" t="s">
        <v>545</v>
      </c>
    </row>
    <row r="28" customFormat="false" ht="25.5" hidden="false" customHeight="true" outlineLevel="0" collapsed="false">
      <c r="A28" s="21" t="s">
        <v>546</v>
      </c>
      <c r="B28" s="87" t="n">
        <f aca="false">B27*B22/1000</f>
        <v>0.355</v>
      </c>
      <c r="C28" s="23" t="s">
        <v>160</v>
      </c>
      <c r="D28" s="24"/>
    </row>
    <row r="29" customFormat="false" ht="25.5" hidden="false" customHeight="true" outlineLevel="0" collapsed="false">
      <c r="A29" s="21" t="s">
        <v>547</v>
      </c>
      <c r="B29" s="87" t="n">
        <f aca="false">(B15+B16)*B21/1000</f>
        <v>2.1</v>
      </c>
      <c r="C29" s="23" t="s">
        <v>160</v>
      </c>
      <c r="D29" s="24"/>
    </row>
    <row r="30" customFormat="false" ht="25.5" hidden="false" customHeight="true" outlineLevel="0" collapsed="false">
      <c r="A30" s="35" t="s">
        <v>548</v>
      </c>
      <c r="B30" s="38" t="n">
        <f aca="false">B28+B29</f>
        <v>2.455</v>
      </c>
      <c r="C30" s="82" t="s">
        <v>160</v>
      </c>
      <c r="D30" s="83"/>
    </row>
    <row r="32" customFormat="false" ht="19.5" hidden="false" customHeight="true" outlineLevel="0" collapsed="false">
      <c r="A32" s="19" t="s">
        <v>549</v>
      </c>
      <c r="B32" s="20"/>
      <c r="C32" s="20"/>
      <c r="D32" s="20"/>
    </row>
    <row r="33" customFormat="false" ht="25.5" hidden="false" customHeight="true" outlineLevel="0" collapsed="false">
      <c r="A33" s="21" t="s">
        <v>550</v>
      </c>
      <c r="B33" s="25" t="n">
        <v>3.5</v>
      </c>
      <c r="C33" s="23" t="s">
        <v>551</v>
      </c>
      <c r="D33" s="24" t="s">
        <v>552</v>
      </c>
    </row>
    <row r="34" customFormat="false" ht="25.5" hidden="false" customHeight="true" outlineLevel="0" collapsed="false">
      <c r="A34" s="47" t="s">
        <v>553</v>
      </c>
      <c r="B34" s="63" t="n">
        <f aca="false">B16*B33</f>
        <v>700</v>
      </c>
      <c r="C34" s="23" t="s">
        <v>524</v>
      </c>
      <c r="D34" s="24" t="s">
        <v>554</v>
      </c>
    </row>
    <row r="36" customFormat="false" ht="43.5" hidden="false" customHeight="true" outlineLevel="0" collapsed="false">
      <c r="A36" s="60" t="s">
        <v>555</v>
      </c>
      <c r="B36" s="60"/>
      <c r="C36" s="60"/>
      <c r="D36" s="60"/>
    </row>
    <row r="38" customFormat="false" ht="19.5" hidden="false" customHeight="true" outlineLevel="0" collapsed="false">
      <c r="A38" s="19" t="s">
        <v>556</v>
      </c>
      <c r="B38" s="20"/>
      <c r="C38" s="20"/>
      <c r="D38" s="20"/>
      <c r="E38" s="20"/>
      <c r="F38" s="20"/>
    </row>
    <row r="39" customFormat="false" ht="39.75" hidden="false" customHeight="true" outlineLevel="0" collapsed="false">
      <c r="A39" s="60" t="s">
        <v>557</v>
      </c>
      <c r="B39" s="60"/>
      <c r="C39" s="60"/>
      <c r="D39" s="60"/>
      <c r="E39" s="60"/>
      <c r="F39" s="60"/>
    </row>
    <row r="40" customFormat="false" ht="30" hidden="false" customHeight="true" outlineLevel="0" collapsed="false">
      <c r="A40" s="8" t="s">
        <v>98</v>
      </c>
      <c r="B40" s="8" t="s">
        <v>558</v>
      </c>
      <c r="C40" s="8" t="s">
        <v>559</v>
      </c>
      <c r="D40" s="8" t="s">
        <v>560</v>
      </c>
      <c r="E40" s="8" t="s">
        <v>561</v>
      </c>
      <c r="F40" s="8" t="s">
        <v>562</v>
      </c>
    </row>
    <row r="41" customFormat="false" ht="19.5" hidden="false" customHeight="true" outlineLevel="0" collapsed="false">
      <c r="A41" s="47" t="s">
        <v>99</v>
      </c>
      <c r="B41" s="66" t="n">
        <v>0</v>
      </c>
      <c r="C41" s="66" t="n">
        <v>0</v>
      </c>
      <c r="D41" s="66" t="n">
        <v>0</v>
      </c>
      <c r="E41" s="66" t="n">
        <v>0</v>
      </c>
      <c r="F41" s="52" t="s">
        <v>563</v>
      </c>
    </row>
    <row r="42" customFormat="false" ht="19.5" hidden="false" customHeight="true" outlineLevel="0" collapsed="false">
      <c r="A42" s="47" t="s">
        <v>221</v>
      </c>
      <c r="B42" s="66" t="n">
        <v>0</v>
      </c>
      <c r="C42" s="66" t="n">
        <v>0</v>
      </c>
      <c r="D42" s="66" t="n">
        <v>0</v>
      </c>
      <c r="E42" s="66" t="n">
        <v>0</v>
      </c>
      <c r="F42" s="52" t="s">
        <v>563</v>
      </c>
    </row>
    <row r="43" customFormat="false" ht="19.5" hidden="false" customHeight="true" outlineLevel="0" collapsed="false">
      <c r="A43" s="47" t="s">
        <v>225</v>
      </c>
      <c r="B43" s="66" t="n">
        <v>2</v>
      </c>
      <c r="C43" s="66" t="n">
        <v>6</v>
      </c>
      <c r="D43" s="66" t="n">
        <v>0</v>
      </c>
      <c r="E43" s="66" t="n">
        <v>0</v>
      </c>
      <c r="F43" s="52" t="s">
        <v>564</v>
      </c>
    </row>
    <row r="44" customFormat="false" ht="19.5" hidden="false" customHeight="true" outlineLevel="0" collapsed="false">
      <c r="A44" s="47" t="s">
        <v>228</v>
      </c>
      <c r="B44" s="66" t="n">
        <v>6</v>
      </c>
      <c r="C44" s="66" t="n">
        <v>16</v>
      </c>
      <c r="D44" s="66" t="n">
        <v>5</v>
      </c>
      <c r="E44" s="66" t="n">
        <v>16</v>
      </c>
      <c r="F44" s="52" t="s">
        <v>565</v>
      </c>
    </row>
    <row r="45" customFormat="false" ht="19.5" hidden="false" customHeight="true" outlineLevel="0" collapsed="false">
      <c r="A45" s="47" t="s">
        <v>231</v>
      </c>
      <c r="B45" s="66" t="n">
        <v>4</v>
      </c>
      <c r="C45" s="66" t="n">
        <v>10</v>
      </c>
      <c r="D45" s="66" t="n">
        <v>2</v>
      </c>
      <c r="E45" s="66" t="n">
        <v>10</v>
      </c>
      <c r="F45" s="52" t="s">
        <v>566</v>
      </c>
    </row>
  </sheetData>
  <mergeCells count="4">
    <mergeCell ref="A1:D1"/>
    <mergeCell ref="A2:D2"/>
    <mergeCell ref="A36:D36"/>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1.97"/>
    <col collapsed="false" customWidth="true" hidden="false" outlineLevel="0" max="2" min="2" style="1" width="16.01"/>
    <col collapsed="false" customWidth="true" hidden="false" outlineLevel="0" max="3" min="3" style="1" width="13.99"/>
    <col collapsed="false" customWidth="true" hidden="false" outlineLevel="0" max="4" min="4" style="1" width="43.99"/>
  </cols>
  <sheetData>
    <row r="1" customFormat="false" ht="17.25" hidden="false" customHeight="true" outlineLevel="0" collapsed="false">
      <c r="A1" s="46" t="s">
        <v>47</v>
      </c>
      <c r="B1" s="46"/>
      <c r="C1" s="46"/>
      <c r="D1" s="46"/>
    </row>
    <row r="2" customFormat="false" ht="15" hidden="false" customHeight="true" outlineLevel="0" collapsed="false">
      <c r="A2" s="17" t="s">
        <v>567</v>
      </c>
      <c r="B2" s="17"/>
      <c r="C2" s="17"/>
      <c r="D2" s="17"/>
    </row>
    <row r="4" customFormat="false" ht="19.5" hidden="false" customHeight="true" outlineLevel="0" collapsed="false">
      <c r="A4" s="19" t="s">
        <v>391</v>
      </c>
      <c r="B4" s="20"/>
      <c r="C4" s="20"/>
      <c r="D4" s="20"/>
    </row>
    <row r="5" customFormat="false" ht="25.5" hidden="false" customHeight="true" outlineLevel="0" collapsed="false">
      <c r="A5" s="47" t="s">
        <v>151</v>
      </c>
      <c r="B5" s="63" t="n">
        <f aca="false">'Harvest Schedule'!B15</f>
        <v>8777.42262948368</v>
      </c>
      <c r="C5" s="23" t="s">
        <v>141</v>
      </c>
      <c r="D5" s="24" t="s">
        <v>568</v>
      </c>
    </row>
    <row r="6" customFormat="false" ht="25.5" hidden="false" customHeight="true" outlineLevel="0" collapsed="false">
      <c r="A6" s="47" t="s">
        <v>152</v>
      </c>
      <c r="B6" s="63" t="n">
        <f aca="false">'Growth &amp; Feed Model'!B25</f>
        <v>20800.2666160319</v>
      </c>
      <c r="C6" s="23" t="s">
        <v>141</v>
      </c>
      <c r="D6" s="24" t="s">
        <v>569</v>
      </c>
    </row>
    <row r="7" customFormat="false" ht="25.5" hidden="false" customHeight="true" outlineLevel="0" collapsed="false">
      <c r="A7" s="47" t="s">
        <v>544</v>
      </c>
      <c r="B7" s="63" t="n">
        <f aca="false">'Energy Module'!B27</f>
        <v>500</v>
      </c>
      <c r="C7" s="23" t="s">
        <v>524</v>
      </c>
      <c r="D7" s="24" t="s">
        <v>570</v>
      </c>
    </row>
    <row r="8" customFormat="false" ht="25.5" hidden="false" customHeight="true" outlineLevel="0" collapsed="false">
      <c r="A8" s="47" t="s">
        <v>571</v>
      </c>
      <c r="B8" s="63" t="n">
        <f aca="false">'Energy Module'!B15+'Energy Module'!B16</f>
        <v>700</v>
      </c>
      <c r="C8" s="23" t="s">
        <v>521</v>
      </c>
      <c r="D8" s="24" t="s">
        <v>570</v>
      </c>
    </row>
    <row r="9" customFormat="false" ht="25.5" hidden="false" customHeight="true" outlineLevel="0" collapsed="false">
      <c r="A9" s="47" t="s">
        <v>284</v>
      </c>
      <c r="B9" s="63" t="n">
        <f aca="false">'Growth &amp; Feed Model'!B7</f>
        <v>6250</v>
      </c>
      <c r="C9" s="23" t="s">
        <v>285</v>
      </c>
      <c r="D9" s="24" t="s">
        <v>569</v>
      </c>
    </row>
    <row r="11" customFormat="false" ht="19.5" hidden="false" customHeight="true" outlineLevel="0" collapsed="false">
      <c r="A11" s="19" t="s">
        <v>572</v>
      </c>
      <c r="B11" s="20"/>
      <c r="C11" s="20"/>
      <c r="D11" s="20"/>
    </row>
    <row r="12" customFormat="false" ht="25.5" hidden="false" customHeight="true" outlineLevel="0" collapsed="false">
      <c r="A12" s="21" t="s">
        <v>573</v>
      </c>
      <c r="B12" s="22" t="n">
        <v>45</v>
      </c>
      <c r="C12" s="23" t="s">
        <v>574</v>
      </c>
      <c r="D12" s="24" t="s">
        <v>575</v>
      </c>
    </row>
    <row r="13" customFormat="false" ht="25.5" hidden="false" customHeight="true" outlineLevel="0" collapsed="false">
      <c r="A13" s="21" t="s">
        <v>576</v>
      </c>
      <c r="B13" s="22" t="n">
        <v>7</v>
      </c>
      <c r="C13" s="23" t="s">
        <v>577</v>
      </c>
      <c r="D13" s="24" t="s">
        <v>578</v>
      </c>
    </row>
    <row r="14" customFormat="false" ht="25.5" hidden="false" customHeight="true" outlineLevel="0" collapsed="false">
      <c r="A14" s="21" t="s">
        <v>579</v>
      </c>
      <c r="B14" s="22" t="n">
        <v>92</v>
      </c>
      <c r="C14" s="23" t="s">
        <v>580</v>
      </c>
      <c r="D14" s="24"/>
    </row>
    <row r="15" customFormat="false" ht="25.5" hidden="false" customHeight="true" outlineLevel="0" collapsed="false">
      <c r="A15" s="21" t="s">
        <v>581</v>
      </c>
      <c r="B15" s="22" t="n">
        <v>60000</v>
      </c>
      <c r="C15" s="23" t="s">
        <v>582</v>
      </c>
      <c r="D15" s="24" t="s">
        <v>583</v>
      </c>
    </row>
    <row r="16" customFormat="false" ht="25.5" hidden="false" customHeight="true" outlineLevel="0" collapsed="false">
      <c r="A16" s="21" t="s">
        <v>584</v>
      </c>
      <c r="B16" s="22" t="n">
        <v>25000</v>
      </c>
      <c r="C16" s="23" t="s">
        <v>582</v>
      </c>
      <c r="D16" s="24"/>
    </row>
    <row r="17" customFormat="false" ht="25.5" hidden="false" customHeight="true" outlineLevel="0" collapsed="false">
      <c r="A17" s="21" t="s">
        <v>585</v>
      </c>
      <c r="B17" s="22" t="n">
        <v>3.5</v>
      </c>
      <c r="C17" s="23" t="s">
        <v>586</v>
      </c>
      <c r="D17" s="24"/>
    </row>
    <row r="18" customFormat="false" ht="25.5" hidden="false" customHeight="true" outlineLevel="0" collapsed="false">
      <c r="A18" s="21" t="s">
        <v>587</v>
      </c>
      <c r="B18" s="22" t="n">
        <v>20000</v>
      </c>
      <c r="C18" s="23" t="s">
        <v>582</v>
      </c>
      <c r="D18" s="24"/>
    </row>
    <row r="19" customFormat="false" ht="25.5" hidden="false" customHeight="true" outlineLevel="0" collapsed="false">
      <c r="A19" s="21" t="s">
        <v>588</v>
      </c>
      <c r="B19" s="22" t="n">
        <v>130</v>
      </c>
      <c r="C19" s="23" t="s">
        <v>574</v>
      </c>
      <c r="D19" s="24"/>
    </row>
    <row r="21" customFormat="false" ht="19.5" hidden="false" customHeight="true" outlineLevel="0" collapsed="false">
      <c r="A21" s="19" t="s">
        <v>589</v>
      </c>
      <c r="B21" s="20"/>
      <c r="C21" s="20"/>
      <c r="D21" s="20"/>
    </row>
    <row r="22" customFormat="false" ht="25.5" hidden="false" customHeight="true" outlineLevel="0" collapsed="false">
      <c r="A22" s="21" t="s">
        <v>153</v>
      </c>
      <c r="B22" s="72" t="n">
        <f aca="false">B6*B12</f>
        <v>936011.997721437</v>
      </c>
      <c r="C22" s="23" t="s">
        <v>154</v>
      </c>
      <c r="D22" s="24" t="s">
        <v>590</v>
      </c>
    </row>
    <row r="23" customFormat="false" ht="25.5" hidden="false" customHeight="true" outlineLevel="0" collapsed="false">
      <c r="A23" s="21" t="s">
        <v>162</v>
      </c>
      <c r="B23" s="72" t="n">
        <f aca="false">B7*B13</f>
        <v>3500</v>
      </c>
      <c r="C23" s="23" t="s">
        <v>154</v>
      </c>
      <c r="D23" s="24"/>
    </row>
    <row r="24" customFormat="false" ht="25.5" hidden="false" customHeight="true" outlineLevel="0" collapsed="false">
      <c r="A24" s="21" t="s">
        <v>163</v>
      </c>
      <c r="B24" s="72" t="n">
        <f aca="false">B8*B14</f>
        <v>64400</v>
      </c>
      <c r="C24" s="23" t="s">
        <v>154</v>
      </c>
      <c r="D24" s="24"/>
    </row>
    <row r="25" customFormat="false" ht="25.5" hidden="false" customHeight="true" outlineLevel="0" collapsed="false">
      <c r="A25" s="21" t="s">
        <v>591</v>
      </c>
      <c r="B25" s="72" t="n">
        <f aca="false">B9*B17</f>
        <v>21875</v>
      </c>
      <c r="C25" s="23" t="s">
        <v>154</v>
      </c>
      <c r="D25" s="24" t="s">
        <v>592</v>
      </c>
    </row>
    <row r="26" customFormat="false" ht="25.5" hidden="false" customHeight="true" outlineLevel="0" collapsed="false">
      <c r="A26" s="35" t="s">
        <v>593</v>
      </c>
      <c r="B26" s="36" t="n">
        <f aca="false">B22+B23+B24+B25+B15+B16+B18</f>
        <v>1130786.99772144</v>
      </c>
      <c r="C26" s="82" t="s">
        <v>154</v>
      </c>
      <c r="D26" s="83" t="s">
        <v>594</v>
      </c>
    </row>
    <row r="28" customFormat="false" ht="19.5" hidden="false" customHeight="true" outlineLevel="0" collapsed="false">
      <c r="A28" s="19" t="s">
        <v>595</v>
      </c>
      <c r="B28" s="20"/>
      <c r="C28" s="20"/>
      <c r="D28" s="20"/>
    </row>
    <row r="29" customFormat="false" ht="25.5" hidden="false" customHeight="true" outlineLevel="0" collapsed="false">
      <c r="A29" s="21" t="s">
        <v>596</v>
      </c>
      <c r="B29" s="72" t="n">
        <f aca="false">B5*B19</f>
        <v>1141064.94183288</v>
      </c>
      <c r="C29" s="23" t="s">
        <v>154</v>
      </c>
      <c r="D29" s="24" t="s">
        <v>597</v>
      </c>
    </row>
    <row r="30" customFormat="false" ht="25.5" hidden="false" customHeight="true" outlineLevel="0" collapsed="false">
      <c r="A30" s="35" t="s">
        <v>598</v>
      </c>
      <c r="B30" s="36" t="n">
        <f aca="false">B29-B26</f>
        <v>10277.9441114408</v>
      </c>
      <c r="C30" s="82" t="s">
        <v>154</v>
      </c>
      <c r="D30" s="83"/>
    </row>
    <row r="31" customFormat="false" ht="25.5" hidden="false" customHeight="true" outlineLevel="0" collapsed="false">
      <c r="A31" s="21" t="s">
        <v>599</v>
      </c>
      <c r="B31" s="28" t="n">
        <f aca="false">B26/B5</f>
        <v>128.829047597991</v>
      </c>
      <c r="C31" s="23" t="s">
        <v>574</v>
      </c>
      <c r="D31" s="24"/>
    </row>
    <row r="32" customFormat="false" ht="25.5" hidden="false" customHeight="true" outlineLevel="0" collapsed="false">
      <c r="A32" s="21" t="s">
        <v>600</v>
      </c>
      <c r="B32" s="28" t="n">
        <f aca="false">B30/B5</f>
        <v>1.17095240200886</v>
      </c>
      <c r="C32" s="23" t="s">
        <v>574</v>
      </c>
      <c r="D32" s="24"/>
    </row>
    <row r="34" customFormat="false" ht="19.5" hidden="false" customHeight="true" outlineLevel="0" collapsed="false">
      <c r="A34" s="19" t="s">
        <v>601</v>
      </c>
      <c r="B34" s="20"/>
      <c r="C34" s="20"/>
      <c r="D34" s="20"/>
    </row>
    <row r="35" customFormat="false" ht="25.5" hidden="false" customHeight="true" outlineLevel="0" collapsed="false">
      <c r="A35" s="21" t="s">
        <v>602</v>
      </c>
      <c r="B35" s="72" t="n">
        <f aca="false">IF('Carbon Reduction Summary'!B9=0,"",B30/'Carbon Reduction Summary'!B9)</f>
        <v>367.940956245456</v>
      </c>
      <c r="C35" s="23" t="s">
        <v>603</v>
      </c>
      <c r="D35" s="33" t="s">
        <v>604</v>
      </c>
    </row>
    <row r="37" customFormat="false" ht="19.5" hidden="false" customHeight="true" outlineLevel="0" collapsed="false">
      <c r="A37" s="19" t="s">
        <v>605</v>
      </c>
      <c r="B37" s="20"/>
      <c r="C37" s="20"/>
      <c r="D37" s="20"/>
    </row>
    <row r="38" customFormat="false" ht="25.5" hidden="false" customHeight="true" outlineLevel="0" collapsed="false">
      <c r="A38" s="47" t="s">
        <v>606</v>
      </c>
      <c r="B38" s="80" t="n">
        <f aca="false">Dashboard!$B$12</f>
        <v>1</v>
      </c>
      <c r="C38" s="23" t="s">
        <v>117</v>
      </c>
      <c r="D38" s="24" t="s">
        <v>607</v>
      </c>
    </row>
    <row r="39" customFormat="false" ht="25.5" hidden="false" customHeight="true" outlineLevel="0" collapsed="false">
      <c r="A39" s="21" t="s">
        <v>608</v>
      </c>
      <c r="B39" s="72" t="n">
        <f aca="false">B5*B38</f>
        <v>8777.42262948368</v>
      </c>
      <c r="C39" s="23" t="s">
        <v>609</v>
      </c>
      <c r="D39" s="24"/>
    </row>
    <row r="40" customFormat="false" ht="25.5" hidden="false" customHeight="true" outlineLevel="0" collapsed="false">
      <c r="A40" s="21" t="s">
        <v>610</v>
      </c>
      <c r="B40" s="72" t="n">
        <f aca="false">B26*B38</f>
        <v>1130786.99772144</v>
      </c>
      <c r="C40" s="23" t="s">
        <v>611</v>
      </c>
      <c r="D40" s="24"/>
    </row>
    <row r="41" customFormat="false" ht="25.5" hidden="false" customHeight="true" outlineLevel="0" collapsed="false">
      <c r="A41" s="21" t="s">
        <v>612</v>
      </c>
      <c r="B41" s="72" t="n">
        <f aca="false">B29*B38</f>
        <v>1141064.94183288</v>
      </c>
      <c r="C41" s="23" t="s">
        <v>611</v>
      </c>
      <c r="D41" s="24"/>
    </row>
    <row r="42" customFormat="false" ht="25.5" hidden="false" customHeight="true" outlineLevel="0" collapsed="false">
      <c r="A42" s="35" t="s">
        <v>613</v>
      </c>
      <c r="B42" s="36" t="n">
        <f aca="false">B30*B38</f>
        <v>10277.9441114408</v>
      </c>
      <c r="C42" s="82" t="s">
        <v>611</v>
      </c>
      <c r="D42" s="83"/>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39.97"/>
    <col collapsed="false" customWidth="true" hidden="false" outlineLevel="0" max="2" min="2" style="1" width="11.97"/>
    <col collapsed="false" customWidth="true" hidden="false" outlineLevel="0" max="4" min="3" style="1" width="16.01"/>
    <col collapsed="false" customWidth="true" hidden="false" outlineLevel="0" max="5" min="5" style="1" width="43.99"/>
  </cols>
  <sheetData>
    <row r="1" customFormat="false" ht="17.25" hidden="false" customHeight="true" outlineLevel="0" collapsed="false">
      <c r="A1" s="46" t="s">
        <v>66</v>
      </c>
      <c r="B1" s="46"/>
      <c r="C1" s="46"/>
      <c r="D1" s="46"/>
      <c r="E1" s="46"/>
    </row>
    <row r="2" customFormat="false" ht="15" hidden="false" customHeight="true" outlineLevel="0" collapsed="false">
      <c r="A2" s="17" t="s">
        <v>614</v>
      </c>
      <c r="B2" s="17"/>
      <c r="C2" s="17"/>
      <c r="D2" s="17"/>
      <c r="E2" s="17"/>
    </row>
    <row r="4" customFormat="false" ht="19.5" hidden="false" customHeight="true" outlineLevel="0" collapsed="false">
      <c r="A4" s="19" t="s">
        <v>615</v>
      </c>
      <c r="B4" s="20"/>
      <c r="C4" s="20"/>
      <c r="D4" s="20"/>
      <c r="E4" s="20"/>
    </row>
    <row r="5" customFormat="false" ht="31.5" hidden="false" customHeight="true" outlineLevel="0" collapsed="false">
      <c r="A5" s="8" t="s">
        <v>616</v>
      </c>
      <c r="B5" s="8" t="s">
        <v>617</v>
      </c>
      <c r="C5" s="8" t="s">
        <v>618</v>
      </c>
      <c r="D5" s="8" t="s">
        <v>619</v>
      </c>
      <c r="E5" s="8" t="s">
        <v>620</v>
      </c>
    </row>
    <row r="6" customFormat="false" ht="30" hidden="false" customHeight="true" outlineLevel="0" collapsed="false">
      <c r="A6" s="47" t="s">
        <v>621</v>
      </c>
      <c r="B6" s="22" t="s">
        <v>226</v>
      </c>
      <c r="C6" s="55" t="n">
        <v>0.05</v>
      </c>
      <c r="D6" s="55" t="n">
        <v>0</v>
      </c>
      <c r="E6" s="11" t="s">
        <v>622</v>
      </c>
    </row>
    <row r="7" customFormat="false" ht="30" hidden="false" customHeight="true" outlineLevel="0" collapsed="false">
      <c r="A7" s="47" t="s">
        <v>623</v>
      </c>
      <c r="B7" s="22" t="s">
        <v>226</v>
      </c>
      <c r="C7" s="55" t="n">
        <v>0.03</v>
      </c>
      <c r="D7" s="55" t="n">
        <v>0.3</v>
      </c>
      <c r="E7" s="11" t="s">
        <v>624</v>
      </c>
    </row>
    <row r="8" customFormat="false" ht="30" hidden="false" customHeight="true" outlineLevel="0" collapsed="false">
      <c r="A8" s="47" t="s">
        <v>625</v>
      </c>
      <c r="B8" s="22" t="s">
        <v>226</v>
      </c>
      <c r="C8" s="55" t="n">
        <v>0.02</v>
      </c>
      <c r="D8" s="55" t="n">
        <v>0.4</v>
      </c>
      <c r="E8" s="11" t="s">
        <v>626</v>
      </c>
    </row>
    <row r="9" customFormat="false" ht="30" hidden="true" customHeight="true" outlineLevel="0" collapsed="false">
      <c r="A9" s="47" t="s">
        <v>627</v>
      </c>
      <c r="B9" s="22" t="s">
        <v>147</v>
      </c>
      <c r="C9" s="55" t="n">
        <v>0</v>
      </c>
      <c r="D9" s="55" t="n">
        <v>0</v>
      </c>
      <c r="E9" s="11" t="n">
        <v>0</v>
      </c>
      <c r="F9" s="1" t="s">
        <v>628</v>
      </c>
    </row>
    <row r="10" customFormat="false" ht="30" hidden="false" customHeight="true" outlineLevel="0" collapsed="false">
      <c r="A10" s="47" t="s">
        <v>629</v>
      </c>
      <c r="B10" s="22" t="s">
        <v>226</v>
      </c>
      <c r="C10" s="55" t="n">
        <v>0.03</v>
      </c>
      <c r="D10" s="55" t="n">
        <v>0</v>
      </c>
      <c r="E10" s="11" t="s">
        <v>630</v>
      </c>
    </row>
    <row r="12" customFormat="false" ht="19.5" hidden="false" customHeight="true" outlineLevel="0" collapsed="false">
      <c r="A12" s="19" t="s">
        <v>631</v>
      </c>
      <c r="B12" s="20"/>
      <c r="C12" s="20"/>
      <c r="D12" s="20"/>
      <c r="E12" s="20"/>
    </row>
    <row r="13" customFormat="false" ht="25.5" hidden="false" customHeight="true" outlineLevel="0" collapsed="false">
      <c r="A13" s="21" t="s">
        <v>632</v>
      </c>
      <c r="B13" s="92" t="n">
        <f aca="false">1-(IF($B$6="Yes",1-$C$6,1)*IF($B$7="Yes",1-$C$7,1)*IF($B$8="Yes",1-$C$8,1)*IF($B$10="Yes",1-$C$10,1)*IF($B$36="Yes",1-$C$36,1)*IF(AND($B$38="Yes",Dashboard!$B$32&lt;&gt;"Yes"),1-$C$38,1))</f>
        <v>0.141541658</v>
      </c>
      <c r="C13" s="23" t="s">
        <v>299</v>
      </c>
      <c r="D13" s="33" t="s">
        <v>633</v>
      </c>
    </row>
    <row r="14" customFormat="false" ht="25.5" hidden="false" customHeight="true" outlineLevel="0" collapsed="false">
      <c r="A14" s="21" t="s">
        <v>634</v>
      </c>
      <c r="B14" s="92" t="n">
        <f aca="false">1-(IF($B$6="Yes",1-$D$6,1)*IF($B$7="Yes",1-$D$7,1)*IF($B$8="Yes",1-$D$8,1)*IF($B$10="Yes",1-$D$10,1)*IF($B$37="Yes",1-$D$37,1))</f>
        <v>0.643</v>
      </c>
      <c r="C14" s="23" t="s">
        <v>299</v>
      </c>
      <c r="D14" s="33" t="s">
        <v>633</v>
      </c>
    </row>
    <row r="15" customFormat="false" ht="25.5" hidden="false" customHeight="true" outlineLevel="0" collapsed="false">
      <c r="A15" s="47" t="s">
        <v>635</v>
      </c>
      <c r="B15" s="49" t="n">
        <f aca="false">IF(B6="Yes",0.05,0)</f>
        <v>0.05</v>
      </c>
      <c r="C15" s="23" t="s">
        <v>299</v>
      </c>
      <c r="D15" s="24"/>
    </row>
    <row r="16" customFormat="false" ht="25.5" hidden="false" customHeight="true" outlineLevel="0" collapsed="false">
      <c r="A16" s="21" t="s">
        <v>636</v>
      </c>
      <c r="B16" s="92" t="n">
        <f aca="false">1-(IF($B$10="Yes",1-0.2,1)*IF($B$37="Yes",1-$E$37,1))</f>
        <v>0.32</v>
      </c>
      <c r="C16" s="23" t="s">
        <v>299</v>
      </c>
      <c r="D16" s="24"/>
    </row>
    <row r="17" customFormat="false" ht="25.5" hidden="false" customHeight="true" outlineLevel="0" collapsed="false">
      <c r="A17" s="47" t="s">
        <v>637</v>
      </c>
      <c r="B17" s="49" t="n">
        <f aca="false">0</f>
        <v>0</v>
      </c>
      <c r="C17" s="23" t="s">
        <v>299</v>
      </c>
      <c r="D17" s="24"/>
    </row>
    <row r="19" customFormat="false" ht="19.5" hidden="false" customHeight="true" outlineLevel="0" collapsed="false">
      <c r="A19" s="19" t="s">
        <v>638</v>
      </c>
      <c r="B19" s="20"/>
      <c r="C19" s="20"/>
      <c r="D19" s="20"/>
      <c r="E19" s="20"/>
    </row>
    <row r="20" customFormat="false" ht="25.5" hidden="false" customHeight="true" outlineLevel="0" collapsed="false">
      <c r="A20" s="21" t="s">
        <v>639</v>
      </c>
      <c r="B20" s="28" t="n">
        <f aca="false">Dashboard!$B$30*(1-B13)</f>
        <v>2.575375026</v>
      </c>
      <c r="C20" s="23" t="s">
        <v>120</v>
      </c>
      <c r="D20" s="24"/>
      <c r="F20" s="1" t="s">
        <v>640</v>
      </c>
    </row>
    <row r="21" customFormat="false" ht="25.5" hidden="false" customHeight="true" outlineLevel="0" collapsed="false">
      <c r="A21" s="47" t="s">
        <v>641</v>
      </c>
      <c r="B21" s="63" t="n">
        <f aca="false">'Growth &amp; Feed Model'!B25*(B20/Dashboard!$B$30)</f>
        <v>17856.1623923567</v>
      </c>
      <c r="C21" s="23" t="s">
        <v>141</v>
      </c>
      <c r="D21" s="24" t="s">
        <v>642</v>
      </c>
    </row>
    <row r="22" customFormat="false" ht="25.5" hidden="false" customHeight="true" outlineLevel="0" collapsed="false">
      <c r="A22" s="47" t="s">
        <v>643</v>
      </c>
      <c r="B22" s="32" t="n">
        <f aca="false">'Feed Emission Model'!B8*(1-B15)</f>
        <v>0.58425</v>
      </c>
      <c r="C22" s="23" t="s">
        <v>168</v>
      </c>
      <c r="D22" s="24"/>
    </row>
    <row r="23" customFormat="false" ht="25.5" hidden="false" customHeight="true" outlineLevel="0" collapsed="false">
      <c r="A23" s="21" t="s">
        <v>644</v>
      </c>
      <c r="B23" s="87" t="n">
        <f aca="false">B21*B22/1000</f>
        <v>10.4324628777344</v>
      </c>
      <c r="C23" s="23" t="s">
        <v>160</v>
      </c>
      <c r="D23" s="24"/>
    </row>
    <row r="24" customFormat="false" ht="25.5" hidden="false" customHeight="true" outlineLevel="0" collapsed="false">
      <c r="A24" s="47" t="s">
        <v>645</v>
      </c>
      <c r="B24" s="63" t="n">
        <f aca="false">B21*'Feed Emission Model'!B6*(1-'Feed Emission Model'!B11)</f>
        <v>5466.66411642001</v>
      </c>
      <c r="C24" s="23" t="s">
        <v>156</v>
      </c>
      <c r="D24" s="24"/>
    </row>
    <row r="25" customFormat="false" ht="25.5" hidden="false" customHeight="true" outlineLevel="0" collapsed="false">
      <c r="A25" s="47" t="s">
        <v>646</v>
      </c>
      <c r="B25" s="93" t="n">
        <f aca="false">'Pond Emission Model'!B9*(1-B14)*'Pond Emission Model'!B45</f>
        <v>0.08925</v>
      </c>
      <c r="C25" s="23" t="s">
        <v>287</v>
      </c>
      <c r="D25" s="24"/>
    </row>
    <row r="26" customFormat="false" ht="25.5" hidden="false" customHeight="true" outlineLevel="0" collapsed="false">
      <c r="A26" s="47" t="s">
        <v>647</v>
      </c>
      <c r="B26" s="71" t="n">
        <f aca="false">B24*(1-'Pond Emission Model'!B50)*B25*(16/12)*(1-'Pond Emission Model'!B10)</f>
        <v>390.319817912389</v>
      </c>
      <c r="C26" s="23" t="s">
        <v>436</v>
      </c>
      <c r="D26" s="24"/>
    </row>
    <row r="27" customFormat="false" ht="25.5" hidden="false" customHeight="true" outlineLevel="0" collapsed="false">
      <c r="A27" s="21" t="s">
        <v>648</v>
      </c>
      <c r="B27" s="87" t="n">
        <f aca="false">B26*'Pond Emission Model'!B12/1000</f>
        <v>10.9289549015469</v>
      </c>
      <c r="C27" s="23" t="s">
        <v>160</v>
      </c>
      <c r="D27" s="24"/>
    </row>
    <row r="28" customFormat="false" ht="25.5" hidden="false" customHeight="true" outlineLevel="0" collapsed="false">
      <c r="A28" s="47" t="s">
        <v>649</v>
      </c>
      <c r="B28" s="63" t="n">
        <f aca="false">B21*'Feed Emission Model'!B7*(1-'Feed Emission Model'!B12)</f>
        <v>521.328517207247</v>
      </c>
      <c r="C28" s="23" t="s">
        <v>409</v>
      </c>
      <c r="D28" s="24"/>
    </row>
    <row r="29" customFormat="false" ht="25.5" hidden="false" customHeight="true" outlineLevel="0" collapsed="false">
      <c r="A29" s="47" t="s">
        <v>650</v>
      </c>
      <c r="B29" s="51" t="n">
        <f aca="false">'Pond Emission Model'!B11*(1-B16)</f>
        <v>0.00544</v>
      </c>
      <c r="C29" s="23" t="s">
        <v>287</v>
      </c>
      <c r="D29" s="24"/>
    </row>
    <row r="30" customFormat="false" ht="25.5" hidden="false" customHeight="true" outlineLevel="0" collapsed="false">
      <c r="A30" s="47" t="s">
        <v>651</v>
      </c>
      <c r="B30" s="69" t="n">
        <f aca="false">B28*B29*(44/28)</f>
        <v>4.45661406709738</v>
      </c>
      <c r="C30" s="23" t="s">
        <v>444</v>
      </c>
      <c r="D30" s="24"/>
    </row>
    <row r="31" customFormat="false" ht="25.5" hidden="false" customHeight="true" outlineLevel="0" collapsed="false">
      <c r="A31" s="21" t="s">
        <v>652</v>
      </c>
      <c r="B31" s="87" t="n">
        <f aca="false">B30*'Pond Emission Model'!B13/1000</f>
        <v>1.18100272778081</v>
      </c>
      <c r="C31" s="23" t="s">
        <v>160</v>
      </c>
      <c r="D31" s="24"/>
    </row>
    <row r="32" customFormat="false" ht="25.5" hidden="false" customHeight="true" outlineLevel="0" collapsed="false">
      <c r="A32" s="21" t="s">
        <v>653</v>
      </c>
      <c r="B32" s="87" t="n">
        <f aca="false">'Energy Module'!B30*(1+B17)</f>
        <v>2.455</v>
      </c>
      <c r="C32" s="23" t="s">
        <v>160</v>
      </c>
      <c r="D32" s="24"/>
    </row>
    <row r="34" customFormat="false" ht="19.5" hidden="false" customHeight="true" outlineLevel="0" collapsed="false">
      <c r="A34" s="19" t="s">
        <v>654</v>
      </c>
      <c r="B34" s="20"/>
      <c r="C34" s="20"/>
      <c r="D34" s="20"/>
      <c r="E34" s="20"/>
      <c r="F34" s="20"/>
    </row>
    <row r="35" customFormat="false" ht="31.5" hidden="false" customHeight="true" outlineLevel="0" collapsed="false">
      <c r="A35" s="8" t="s">
        <v>616</v>
      </c>
      <c r="B35" s="8" t="s">
        <v>617</v>
      </c>
      <c r="C35" s="8" t="s">
        <v>618</v>
      </c>
      <c r="D35" s="8" t="s">
        <v>619</v>
      </c>
      <c r="E35" s="8" t="s">
        <v>655</v>
      </c>
      <c r="F35" s="8" t="s">
        <v>562</v>
      </c>
    </row>
    <row r="36" customFormat="false" ht="33.75" hidden="false" customHeight="true" outlineLevel="0" collapsed="false">
      <c r="A36" s="47" t="s">
        <v>656</v>
      </c>
      <c r="B36" s="25" t="s">
        <v>226</v>
      </c>
      <c r="C36" s="81" t="n">
        <v>0.02</v>
      </c>
      <c r="D36" s="81" t="n">
        <v>0</v>
      </c>
      <c r="E36" s="81" t="n">
        <v>0</v>
      </c>
      <c r="F36" s="11" t="s">
        <v>657</v>
      </c>
    </row>
    <row r="37" customFormat="false" ht="33.75" hidden="false" customHeight="true" outlineLevel="0" collapsed="false">
      <c r="A37" s="47" t="s">
        <v>658</v>
      </c>
      <c r="B37" s="25" t="s">
        <v>226</v>
      </c>
      <c r="C37" s="81" t="n">
        <v>0</v>
      </c>
      <c r="D37" s="81" t="n">
        <v>0.15</v>
      </c>
      <c r="E37" s="81" t="n">
        <v>0.15</v>
      </c>
      <c r="F37" s="11" t="s">
        <v>659</v>
      </c>
    </row>
    <row r="38" customFormat="false" ht="202.5" hidden="false" customHeight="true" outlineLevel="0" collapsed="false">
      <c r="A38" s="47" t="s">
        <v>297</v>
      </c>
      <c r="B38" s="34" t="s">
        <v>147</v>
      </c>
      <c r="C38" s="94" t="n">
        <v>0.125</v>
      </c>
      <c r="D38" s="47" t="n">
        <v>0</v>
      </c>
      <c r="E38" s="47" t="n">
        <v>0</v>
      </c>
      <c r="F38" s="47" t="s">
        <v>660</v>
      </c>
    </row>
  </sheetData>
  <mergeCells count="2">
    <mergeCell ref="A1:E1"/>
    <mergeCell ref="A2:E2"/>
  </mergeCells>
  <dataValidations count="2">
    <dataValidation allowBlank="false" errorStyle="stop" operator="between" showDropDown="false" showErrorMessage="false" showInputMessage="false" sqref="B6:B10 B36:B37" type="list">
      <formula1>"Yes,No"</formula1>
      <formula2>0</formula2>
    </dataValidation>
    <dataValidation allowBlank="true" error="Please select a valid value." errorStyle="stop" errorTitle="Invalid value" operator="between" prompt="Select Yes or No" promptTitle="Select value" showDropDown="false" showErrorMessage="true" showInputMessage="true" sqref="B3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J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4"/>
    <col collapsed="false" customWidth="true" hidden="false" outlineLevel="0" max="7" min="2" style="1" width="18"/>
    <col collapsed="false" customWidth="true" hidden="false" outlineLevel="0" max="8" min="8" style="1" width="16"/>
    <col collapsed="false" customWidth="true" hidden="false" outlineLevel="0" max="10" min="9" style="1" width="18"/>
  </cols>
  <sheetData>
    <row r="1" customFormat="false" ht="17.25" hidden="false" customHeight="true" outlineLevel="0" collapsed="false">
      <c r="A1" s="46" t="s">
        <v>661</v>
      </c>
      <c r="B1" s="46"/>
      <c r="C1" s="46"/>
      <c r="D1" s="46"/>
      <c r="E1" s="46"/>
    </row>
    <row r="4" customFormat="false" ht="25.5" hidden="false" customHeight="true" outlineLevel="0" collapsed="false">
      <c r="A4" s="8" t="s">
        <v>662</v>
      </c>
      <c r="B4" s="8" t="s">
        <v>663</v>
      </c>
      <c r="C4" s="8" t="s">
        <v>664</v>
      </c>
      <c r="D4" s="8" t="s">
        <v>665</v>
      </c>
      <c r="E4" s="8" t="s">
        <v>666</v>
      </c>
    </row>
    <row r="5" customFormat="false" ht="24" hidden="false" customHeight="true" outlineLevel="0" collapsed="false">
      <c r="A5" s="47" t="s">
        <v>667</v>
      </c>
      <c r="B5" s="48" t="n">
        <f aca="false">'Feed Emission Model'!B15</f>
        <v>12.7921639688596</v>
      </c>
      <c r="C5" s="48" t="n">
        <f aca="false">'Improved Farming Scenario'!B23</f>
        <v>10.4324628777344</v>
      </c>
      <c r="D5" s="23" t="s">
        <v>160</v>
      </c>
      <c r="E5" s="11" t="s">
        <v>668</v>
      </c>
    </row>
    <row r="6" customFormat="false" ht="24" hidden="false" customHeight="true" outlineLevel="0" collapsed="false">
      <c r="A6" s="47" t="s">
        <v>546</v>
      </c>
      <c r="B6" s="48" t="n">
        <f aca="false">'Energy Module'!B28</f>
        <v>0.355</v>
      </c>
      <c r="C6" s="48" t="n">
        <f aca="false">'Energy Module'!B28*(1+'Improved Farming Scenario'!B17)</f>
        <v>0.355</v>
      </c>
      <c r="D6" s="23" t="s">
        <v>160</v>
      </c>
      <c r="E6" s="11" t="s">
        <v>62</v>
      </c>
    </row>
    <row r="7" customFormat="false" ht="24" hidden="false" customHeight="true" outlineLevel="0" collapsed="false">
      <c r="A7" s="47" t="s">
        <v>547</v>
      </c>
      <c r="B7" s="48" t="n">
        <f aca="false">'Energy Module'!B29</f>
        <v>2.1</v>
      </c>
      <c r="C7" s="48" t="n">
        <f aca="false">'Energy Module'!B29</f>
        <v>2.1</v>
      </c>
      <c r="D7" s="23" t="s">
        <v>160</v>
      </c>
      <c r="E7" s="11" t="s">
        <v>669</v>
      </c>
    </row>
    <row r="8" customFormat="false" ht="24" hidden="false" customHeight="true" outlineLevel="0" collapsed="false">
      <c r="A8" s="47" t="s">
        <v>441</v>
      </c>
      <c r="B8" s="48" t="n">
        <f aca="false">'Pond Emission Model'!B24</f>
        <v>35.6608090971898</v>
      </c>
      <c r="C8" s="48" t="n">
        <f aca="false">'Improved Farming Scenario'!B27</f>
        <v>10.9289549015469</v>
      </c>
      <c r="D8" s="23" t="s">
        <v>160</v>
      </c>
      <c r="E8" s="11" t="s">
        <v>670</v>
      </c>
    </row>
    <row r="9" customFormat="false" ht="24" hidden="false" customHeight="true" outlineLevel="0" collapsed="false">
      <c r="A9" s="47" t="s">
        <v>447</v>
      </c>
      <c r="B9" s="48" t="n">
        <f aca="false">'Pond Emission Model'!B29</f>
        <v>2.02312521453104</v>
      </c>
      <c r="C9" s="48" t="n">
        <f aca="false">'Improved Farming Scenario'!B31</f>
        <v>1.18100272778081</v>
      </c>
      <c r="D9" s="23" t="s">
        <v>160</v>
      </c>
      <c r="E9" s="11" t="s">
        <v>670</v>
      </c>
    </row>
    <row r="10" customFormat="false" ht="24" hidden="false" customHeight="true" outlineLevel="0" collapsed="false">
      <c r="A10" s="35" t="s">
        <v>671</v>
      </c>
      <c r="B10" s="38" t="n">
        <f aca="false">B5+B6+B7+B8+B9+'Pond Emission Model'!B41+'Pond Emission Model'!B53</f>
        <v>52.9950982805805</v>
      </c>
      <c r="C10" s="38" t="n">
        <f aca="false">C5+C6+C7+C8+C9+'Pond Emission Model'!B41+'Pond Emission Model'!B53</f>
        <v>25.0614205070621</v>
      </c>
      <c r="D10" s="82" t="s">
        <v>160</v>
      </c>
      <c r="E10" s="95"/>
    </row>
    <row r="12" customFormat="false" ht="19.5" hidden="false" customHeight="true" outlineLevel="0" collapsed="false">
      <c r="A12" s="19" t="s">
        <v>672</v>
      </c>
      <c r="B12" s="20"/>
      <c r="C12" s="20"/>
      <c r="D12" s="20"/>
      <c r="E12" s="20"/>
    </row>
    <row r="13" customFormat="false" ht="25.5" hidden="false" customHeight="true" outlineLevel="0" collapsed="false">
      <c r="A13" s="21" t="s">
        <v>673</v>
      </c>
      <c r="B13" s="55" t="n">
        <v>0.08</v>
      </c>
      <c r="C13" s="23" t="s">
        <v>287</v>
      </c>
      <c r="D13" s="24" t="s">
        <v>674</v>
      </c>
    </row>
    <row r="14" customFormat="false" ht="25.5" hidden="false" customHeight="true" outlineLevel="0" collapsed="false">
      <c r="A14" s="47" t="s">
        <v>675</v>
      </c>
      <c r="B14" s="63" t="n">
        <f aca="false">'Harvest Schedule'!B15</f>
        <v>8777.42262948368</v>
      </c>
      <c r="C14" s="23" t="s">
        <v>141</v>
      </c>
      <c r="D14" s="24"/>
    </row>
    <row r="15" customFormat="false" ht="25.5" hidden="false" customHeight="true" outlineLevel="0" collapsed="false">
      <c r="A15" s="21" t="s">
        <v>676</v>
      </c>
      <c r="B15" s="87" t="n">
        <f aca="false">B14*B13*(44/12)/1000</f>
        <v>2.57471063798188</v>
      </c>
      <c r="C15" s="23" t="s">
        <v>160</v>
      </c>
      <c r="D15" s="24" t="s">
        <v>677</v>
      </c>
    </row>
    <row r="17" customFormat="false" ht="19.5" hidden="false" customHeight="true" outlineLevel="0" collapsed="false">
      <c r="A17" s="19" t="s">
        <v>678</v>
      </c>
      <c r="B17" s="20"/>
      <c r="C17" s="20"/>
      <c r="D17" s="20"/>
      <c r="E17" s="20"/>
    </row>
    <row r="18" customFormat="false" ht="25.5" hidden="false" customHeight="true" outlineLevel="0" collapsed="false">
      <c r="A18" s="21" t="s">
        <v>679</v>
      </c>
      <c r="B18" s="87" t="n">
        <f aca="false">B10-B15</f>
        <v>50.4203876425986</v>
      </c>
      <c r="C18" s="23" t="s">
        <v>160</v>
      </c>
      <c r="D18" s="24"/>
    </row>
    <row r="19" customFormat="false" ht="25.5" hidden="false" customHeight="true" outlineLevel="0" collapsed="false">
      <c r="A19" s="21" t="s">
        <v>680</v>
      </c>
      <c r="B19" s="87" t="n">
        <f aca="false">C10-B15</f>
        <v>22.4867098690802</v>
      </c>
      <c r="C19" s="23" t="s">
        <v>160</v>
      </c>
      <c r="D19" s="24" t="s">
        <v>681</v>
      </c>
    </row>
    <row r="20" customFormat="false" ht="25.5" hidden="false" customHeight="true" outlineLevel="0" collapsed="false">
      <c r="A20" s="21" t="s">
        <v>682</v>
      </c>
      <c r="B20" s="28" t="n">
        <f aca="false">B18*1000/B14</f>
        <v>5.74432720981609</v>
      </c>
      <c r="C20" s="23" t="s">
        <v>168</v>
      </c>
      <c r="D20" s="24"/>
    </row>
    <row r="21" customFormat="false" ht="25.5" hidden="false" customHeight="true" outlineLevel="0" collapsed="false">
      <c r="A21" s="21" t="s">
        <v>683</v>
      </c>
      <c r="B21" s="28" t="n">
        <f aca="false">B19*1000/B14</f>
        <v>2.56188072721331</v>
      </c>
      <c r="C21" s="23" t="s">
        <v>168</v>
      </c>
      <c r="D21" s="24"/>
    </row>
    <row r="23" customFormat="false" ht="25.5" hidden="false" customHeight="true" outlineLevel="0" collapsed="false">
      <c r="A23" s="21" t="s">
        <v>684</v>
      </c>
      <c r="B23" s="48" t="n">
        <f aca="false">'Pond Emission Model'!B41+'Pond Emission Model'!B53</f>
        <v>0.064</v>
      </c>
      <c r="C23" s="23" t="s">
        <v>160</v>
      </c>
      <c r="D23" s="11" t="s">
        <v>685</v>
      </c>
    </row>
    <row r="25" customFormat="false" ht="19.5" hidden="false" customHeight="true" outlineLevel="0" collapsed="false">
      <c r="A25" s="19" t="s">
        <v>686</v>
      </c>
      <c r="B25" s="20"/>
      <c r="C25" s="20"/>
      <c r="D25" s="20"/>
      <c r="E25" s="20"/>
    </row>
    <row r="26" customFormat="false" ht="78" hidden="false" customHeight="true" outlineLevel="0" collapsed="false">
      <c r="A26" s="60" t="s">
        <v>687</v>
      </c>
      <c r="B26" s="60"/>
      <c r="C26" s="60"/>
      <c r="D26" s="60"/>
      <c r="E26" s="60"/>
    </row>
    <row r="27" customFormat="false" ht="25.5" hidden="false" customHeight="true" outlineLevel="0" collapsed="false">
      <c r="A27" s="21" t="s">
        <v>688</v>
      </c>
      <c r="B27" s="96" t="str">
        <f aca="false">IF(B69="","",B69/Dashboard!$B$10)</f>
        <v/>
      </c>
      <c r="C27" s="23" t="s">
        <v>689</v>
      </c>
      <c r="D27" s="24" t="s">
        <v>690</v>
      </c>
    </row>
    <row r="28" customFormat="false" ht="25.5" hidden="false" customHeight="true" outlineLevel="0" collapsed="false">
      <c r="A28" s="47" t="s">
        <v>691</v>
      </c>
      <c r="B28" s="43" t="str">
        <f aca="false">IF(B69="","",B70)</f>
        <v/>
      </c>
      <c r="C28" s="23" t="s">
        <v>172</v>
      </c>
      <c r="D28" s="24" t="s">
        <v>692</v>
      </c>
    </row>
    <row r="30" customFormat="false" ht="19.5" hidden="false" customHeight="true" outlineLevel="0" collapsed="false">
      <c r="A30" s="19" t="s">
        <v>693</v>
      </c>
      <c r="B30" s="20"/>
      <c r="C30" s="20"/>
      <c r="D30" s="20"/>
      <c r="E30" s="20"/>
    </row>
    <row r="31" customFormat="false" ht="25.5" hidden="false" customHeight="true" outlineLevel="0" collapsed="false">
      <c r="A31" s="21" t="s">
        <v>694</v>
      </c>
      <c r="B31" s="81" t="n">
        <v>0.65</v>
      </c>
      <c r="C31" s="23" t="s">
        <v>287</v>
      </c>
      <c r="D31" s="24" t="s">
        <v>695</v>
      </c>
    </row>
    <row r="32" customFormat="false" ht="25.5" hidden="false" customHeight="true" outlineLevel="0" collapsed="false">
      <c r="A32" s="47" t="s">
        <v>696</v>
      </c>
      <c r="B32" s="63" t="n">
        <f aca="false">B14*B31</f>
        <v>5705.32470916439</v>
      </c>
      <c r="C32" s="23" t="s">
        <v>141</v>
      </c>
      <c r="D32" s="24" t="s">
        <v>697</v>
      </c>
    </row>
    <row r="33" customFormat="false" ht="25.5" hidden="false" customHeight="true" outlineLevel="0" collapsed="false">
      <c r="A33" s="21" t="s">
        <v>698</v>
      </c>
      <c r="B33" s="28" t="n">
        <f aca="false">B18*1000/B32</f>
        <v>8.83742647664014</v>
      </c>
      <c r="C33" s="23" t="s">
        <v>699</v>
      </c>
      <c r="D33" s="24"/>
    </row>
    <row r="34" customFormat="false" ht="25.5" hidden="false" customHeight="true" outlineLevel="0" collapsed="false">
      <c r="A34" s="21" t="s">
        <v>700</v>
      </c>
      <c r="B34" s="28" t="n">
        <f aca="false">B19*1000/B32</f>
        <v>3.94135496494356</v>
      </c>
      <c r="C34" s="23" t="s">
        <v>699</v>
      </c>
      <c r="D34" s="24"/>
    </row>
    <row r="36" customFormat="false" ht="19.5" hidden="false" customHeight="true" outlineLevel="0" collapsed="false">
      <c r="A36" s="73" t="s">
        <v>701</v>
      </c>
      <c r="B36" s="20"/>
      <c r="C36" s="20"/>
      <c r="D36" s="20"/>
      <c r="E36" s="20"/>
    </row>
    <row r="37" customFormat="false" ht="43.5" hidden="false" customHeight="true" outlineLevel="0" collapsed="false">
      <c r="A37" s="60" t="s">
        <v>702</v>
      </c>
      <c r="B37" s="60"/>
      <c r="C37" s="60"/>
      <c r="D37" s="60"/>
      <c r="E37" s="60"/>
    </row>
    <row r="38" customFormat="false" ht="31.5" hidden="false" customHeight="true" outlineLevel="0" collapsed="false">
      <c r="A38" s="40" t="s">
        <v>703</v>
      </c>
      <c r="B38" s="40" t="s">
        <v>704</v>
      </c>
      <c r="C38" s="40" t="s">
        <v>705</v>
      </c>
      <c r="D38" s="40" t="s">
        <v>706</v>
      </c>
      <c r="E38" s="40" t="s">
        <v>707</v>
      </c>
      <c r="F38" s="40" t="s">
        <v>708</v>
      </c>
      <c r="G38" s="40" t="s">
        <v>709</v>
      </c>
      <c r="H38" s="40" t="s">
        <v>710</v>
      </c>
      <c r="I38" s="40" t="s">
        <v>711</v>
      </c>
      <c r="J38" s="40" t="s">
        <v>712</v>
      </c>
    </row>
    <row r="39" customFormat="false" ht="21.75" hidden="false" customHeight="true" outlineLevel="0" collapsed="false">
      <c r="A39" s="42"/>
      <c r="B39" s="41"/>
      <c r="C39" s="41"/>
      <c r="D39" s="97"/>
      <c r="E39" s="34"/>
      <c r="F39" s="34"/>
      <c r="G39" s="34"/>
      <c r="H39" s="34"/>
      <c r="I39" s="41"/>
      <c r="J39" s="41"/>
    </row>
    <row r="40" customFormat="false" ht="21.75" hidden="false" customHeight="true" outlineLevel="0" collapsed="false">
      <c r="A40" s="42"/>
      <c r="B40" s="41"/>
      <c r="C40" s="41"/>
      <c r="D40" s="97"/>
      <c r="E40" s="34"/>
      <c r="F40" s="34"/>
      <c r="G40" s="34"/>
      <c r="H40" s="34"/>
      <c r="I40" s="41"/>
      <c r="J40" s="41"/>
    </row>
    <row r="41" customFormat="false" ht="21.75" hidden="false" customHeight="true" outlineLevel="0" collapsed="false">
      <c r="A41" s="42"/>
      <c r="B41" s="41"/>
      <c r="C41" s="41"/>
      <c r="D41" s="97"/>
      <c r="E41" s="34"/>
      <c r="F41" s="34"/>
      <c r="G41" s="34"/>
      <c r="H41" s="34"/>
      <c r="I41" s="41"/>
      <c r="J41" s="41"/>
    </row>
    <row r="42" customFormat="false" ht="21.75" hidden="false" customHeight="true" outlineLevel="0" collapsed="false">
      <c r="A42" s="42"/>
      <c r="B42" s="41"/>
      <c r="C42" s="41"/>
      <c r="D42" s="97"/>
      <c r="E42" s="34"/>
      <c r="F42" s="34"/>
      <c r="G42" s="34"/>
      <c r="H42" s="34"/>
      <c r="I42" s="41"/>
      <c r="J42" s="41"/>
    </row>
    <row r="43" customFormat="false" ht="15" hidden="false" customHeight="true" outlineLevel="0" collapsed="false">
      <c r="A43" s="42"/>
      <c r="B43" s="41"/>
      <c r="C43" s="41"/>
      <c r="D43" s="97"/>
      <c r="E43" s="34"/>
      <c r="F43" s="34"/>
      <c r="G43" s="34"/>
      <c r="H43" s="34"/>
      <c r="I43" s="41"/>
      <c r="J43" s="41"/>
    </row>
    <row r="44" customFormat="false" ht="15" hidden="false" customHeight="true" outlineLevel="0" collapsed="false">
      <c r="A44" s="42"/>
      <c r="B44" s="41"/>
      <c r="C44" s="41"/>
      <c r="D44" s="97"/>
      <c r="E44" s="34"/>
      <c r="F44" s="34"/>
      <c r="G44" s="34"/>
      <c r="H44" s="34"/>
      <c r="I44" s="41"/>
      <c r="J44" s="41"/>
    </row>
    <row r="45" customFormat="false" ht="15" hidden="false" customHeight="true" outlineLevel="0" collapsed="false">
      <c r="A45" s="42"/>
      <c r="B45" s="41"/>
      <c r="C45" s="41"/>
      <c r="D45" s="97"/>
      <c r="E45" s="34"/>
      <c r="F45" s="34"/>
      <c r="G45" s="34"/>
      <c r="H45" s="34"/>
      <c r="I45" s="41"/>
      <c r="J45" s="41"/>
    </row>
    <row r="46" customFormat="false" ht="15" hidden="false" customHeight="true" outlineLevel="0" collapsed="false">
      <c r="A46" s="42"/>
      <c r="B46" s="41"/>
      <c r="C46" s="41"/>
      <c r="D46" s="97"/>
      <c r="E46" s="34"/>
      <c r="F46" s="34"/>
      <c r="G46" s="34"/>
      <c r="H46" s="34"/>
      <c r="I46" s="41"/>
      <c r="J46" s="41"/>
    </row>
    <row r="47" customFormat="false" ht="15" hidden="false" customHeight="true" outlineLevel="0" collapsed="false">
      <c r="A47" s="42"/>
      <c r="B47" s="41"/>
      <c r="C47" s="41"/>
      <c r="D47" s="97"/>
      <c r="E47" s="34"/>
      <c r="F47" s="34"/>
      <c r="G47" s="34"/>
      <c r="H47" s="34"/>
      <c r="I47" s="41"/>
      <c r="J47" s="41"/>
    </row>
    <row r="48" customFormat="false" ht="15" hidden="false" customHeight="true" outlineLevel="0" collapsed="false">
      <c r="A48" s="42"/>
      <c r="B48" s="41"/>
      <c r="C48" s="41"/>
      <c r="D48" s="97"/>
      <c r="E48" s="34"/>
      <c r="F48" s="34"/>
      <c r="G48" s="34"/>
      <c r="H48" s="34"/>
      <c r="I48" s="41"/>
      <c r="J48" s="41"/>
    </row>
    <row r="49" customFormat="false" ht="15" hidden="false" customHeight="true" outlineLevel="0" collapsed="false">
      <c r="A49" s="42"/>
      <c r="B49" s="41"/>
      <c r="C49" s="41"/>
      <c r="D49" s="97"/>
      <c r="E49" s="34"/>
      <c r="F49" s="34"/>
      <c r="G49" s="34"/>
      <c r="H49" s="34"/>
      <c r="I49" s="41"/>
      <c r="J49" s="41"/>
    </row>
    <row r="50" customFormat="false" ht="15" hidden="false" customHeight="true" outlineLevel="0" collapsed="false">
      <c r="A50" s="42"/>
      <c r="B50" s="41"/>
      <c r="C50" s="41"/>
      <c r="D50" s="97"/>
      <c r="E50" s="34"/>
      <c r="F50" s="34"/>
      <c r="G50" s="34"/>
      <c r="H50" s="34"/>
      <c r="I50" s="41"/>
      <c r="J50" s="41"/>
    </row>
    <row r="51" customFormat="false" ht="15" hidden="false" customHeight="true" outlineLevel="0" collapsed="false">
      <c r="A51" s="42"/>
      <c r="B51" s="41"/>
      <c r="C51" s="41"/>
      <c r="D51" s="97"/>
      <c r="E51" s="34"/>
      <c r="F51" s="34"/>
      <c r="G51" s="34"/>
      <c r="H51" s="34"/>
      <c r="I51" s="41"/>
      <c r="J51" s="41"/>
    </row>
    <row r="52" customFormat="false" ht="15" hidden="false" customHeight="true" outlineLevel="0" collapsed="false">
      <c r="A52" s="42" t="s">
        <v>713</v>
      </c>
      <c r="B52" s="67" t="str">
        <f aca="false">B71</f>
        <v/>
      </c>
      <c r="C52" s="41" t="s">
        <v>120</v>
      </c>
      <c r="D52" s="97"/>
      <c r="E52" s="34"/>
      <c r="F52" s="34"/>
      <c r="G52" s="34"/>
      <c r="H52" s="34"/>
      <c r="I52" s="41"/>
      <c r="J52" s="41"/>
    </row>
    <row r="53" customFormat="false" ht="15" hidden="false" customHeight="true" outlineLevel="0" collapsed="false">
      <c r="A53" s="42"/>
      <c r="B53" s="41"/>
      <c r="C53" s="41"/>
      <c r="D53" s="97"/>
      <c r="E53" s="34"/>
      <c r="F53" s="34"/>
      <c r="G53" s="34"/>
      <c r="H53" s="34"/>
      <c r="I53" s="41"/>
      <c r="J53" s="41"/>
    </row>
    <row r="54" customFormat="false" ht="15" hidden="false" customHeight="true" outlineLevel="0" collapsed="false">
      <c r="A54" s="42"/>
      <c r="B54" s="41"/>
      <c r="C54" s="41"/>
      <c r="D54" s="97"/>
      <c r="E54" s="34"/>
      <c r="F54" s="34"/>
      <c r="G54" s="34"/>
      <c r="H54" s="34"/>
      <c r="I54" s="41"/>
      <c r="J54" s="41"/>
    </row>
    <row r="55" customFormat="false" ht="15" hidden="false" customHeight="true" outlineLevel="0" collapsed="false">
      <c r="A55" s="42"/>
      <c r="B55" s="41"/>
      <c r="C55" s="41"/>
      <c r="D55" s="97"/>
      <c r="E55" s="34"/>
      <c r="F55" s="34"/>
      <c r="G55" s="34"/>
      <c r="H55" s="34"/>
      <c r="I55" s="41"/>
      <c r="J55" s="41"/>
    </row>
    <row r="56" customFormat="false" ht="15" hidden="false" customHeight="true" outlineLevel="0" collapsed="false">
      <c r="A56" s="42"/>
      <c r="B56" s="41"/>
      <c r="C56" s="41"/>
      <c r="D56" s="97"/>
      <c r="E56" s="34"/>
      <c r="F56" s="34"/>
      <c r="G56" s="34"/>
      <c r="H56" s="34"/>
      <c r="I56" s="41"/>
      <c r="J56" s="41"/>
    </row>
    <row r="57" customFormat="false" ht="15" hidden="false" customHeight="true" outlineLevel="0" collapsed="false">
      <c r="A57" s="42"/>
      <c r="B57" s="41"/>
      <c r="C57" s="41"/>
      <c r="D57" s="97"/>
      <c r="E57" s="34"/>
      <c r="F57" s="34"/>
      <c r="G57" s="34"/>
      <c r="H57" s="34"/>
      <c r="I57" s="41"/>
      <c r="J57" s="41"/>
    </row>
    <row r="58" customFormat="false" ht="15" hidden="false" customHeight="true" outlineLevel="0" collapsed="false">
      <c r="A58" s="42"/>
      <c r="B58" s="41"/>
      <c r="C58" s="41"/>
      <c r="D58" s="97"/>
      <c r="E58" s="34"/>
      <c r="F58" s="34"/>
      <c r="G58" s="34"/>
      <c r="H58" s="34"/>
      <c r="I58" s="41"/>
      <c r="J58" s="41"/>
    </row>
    <row r="59" customFormat="false" ht="15" hidden="false" customHeight="true" outlineLevel="0" collapsed="false">
      <c r="A59" s="42"/>
      <c r="B59" s="41"/>
      <c r="C59" s="41"/>
      <c r="D59" s="97"/>
      <c r="E59" s="34"/>
      <c r="F59" s="34"/>
      <c r="G59" s="34"/>
      <c r="H59" s="34"/>
      <c r="I59" s="41"/>
      <c r="J59" s="41"/>
    </row>
    <row r="60" customFormat="false" ht="15" hidden="false" customHeight="true" outlineLevel="0" collapsed="false">
      <c r="A60" s="42"/>
      <c r="B60" s="41"/>
      <c r="C60" s="41"/>
      <c r="D60" s="97"/>
      <c r="E60" s="34"/>
      <c r="F60" s="34"/>
      <c r="G60" s="34"/>
      <c r="H60" s="34"/>
      <c r="I60" s="41"/>
      <c r="J60" s="41"/>
    </row>
    <row r="62" customFormat="false" ht="15" hidden="false" customHeight="true" outlineLevel="0" collapsed="false">
      <c r="A62" s="40" t="s">
        <v>714</v>
      </c>
      <c r="B62" s="40"/>
      <c r="C62" s="40"/>
      <c r="D62" s="40"/>
    </row>
    <row r="63" customFormat="false" ht="15" hidden="false" customHeight="true" outlineLevel="0" collapsed="false">
      <c r="A63" s="19" t="s">
        <v>715</v>
      </c>
      <c r="B63" s="43" t="str">
        <f aca="false">IFERROR(AVERAGEIF($G$39:$G$60,"Pre-Stocking",$B$39:$B$60),"")</f>
        <v/>
      </c>
      <c r="C63" s="19" t="s">
        <v>299</v>
      </c>
      <c r="D63" s="19"/>
    </row>
    <row r="64" customFormat="false" ht="15" hidden="false" customHeight="true" outlineLevel="0" collapsed="false">
      <c r="A64" s="19" t="s">
        <v>716</v>
      </c>
      <c r="B64" s="43" t="str">
        <f aca="false">IFERROR(AVERAGEIF($G$39:$G$60,"Post-Harvest",$B$39:$B$60),"")</f>
        <v/>
      </c>
      <c r="C64" s="19" t="s">
        <v>299</v>
      </c>
      <c r="D64" s="19"/>
    </row>
    <row r="65" customFormat="false" ht="15" hidden="false" customHeight="true" outlineLevel="0" collapsed="false">
      <c r="A65" s="19" t="s">
        <v>717</v>
      </c>
      <c r="B65" s="43" t="str">
        <f aca="false">IFERROR(AVERAGEIFS($I$39:$I$60,$G$39:$G$60,"Pre-Stocking"),"")</f>
        <v/>
      </c>
      <c r="C65" s="19" t="s">
        <v>718</v>
      </c>
      <c r="D65" s="19"/>
    </row>
    <row r="66" customFormat="false" ht="15" hidden="false" customHeight="true" outlineLevel="0" collapsed="false">
      <c r="A66" s="19" t="s">
        <v>719</v>
      </c>
      <c r="B66" s="43" t="str">
        <f aca="false">IFERROR(AVERAGEIFS($J$39:$J$60,$G$39:$G$60,"Pre-Stocking"),"")</f>
        <v/>
      </c>
      <c r="C66" s="19" t="s">
        <v>114</v>
      </c>
      <c r="D66" s="19"/>
    </row>
    <row r="67" customFormat="false" ht="15" hidden="false" customHeight="true" outlineLevel="0" collapsed="false">
      <c r="A67" s="19" t="s">
        <v>110</v>
      </c>
      <c r="B67" s="44" t="n">
        <f aca="false">Dashboard!$B$10</f>
        <v>1</v>
      </c>
      <c r="C67" s="19" t="s">
        <v>111</v>
      </c>
      <c r="D67" s="19"/>
    </row>
    <row r="68" customFormat="false" ht="15" hidden="false" customHeight="true" outlineLevel="0" collapsed="false">
      <c r="A68" s="19" t="s">
        <v>720</v>
      </c>
      <c r="B68" s="43" t="str">
        <f aca="false">IF(OR(B63="",B64="",B65="",B66=""),"",(B64-B63)/100*B65*B66*B67*10000)</f>
        <v/>
      </c>
      <c r="C68" s="19" t="s">
        <v>721</v>
      </c>
      <c r="D68" s="19"/>
    </row>
    <row r="69" customFormat="false" ht="15" hidden="false" customHeight="true" outlineLevel="0" collapsed="false">
      <c r="A69" s="19" t="s">
        <v>722</v>
      </c>
      <c r="B69" s="43" t="str">
        <f aca="false">IF(OR(B68="",COUNTIF($G$39:$G$60,"Pre-Stocking")=0,COUNTIF($G$39:$G$60,"Post-Harvest")=0),"",B68*365/(AVERAGEIF($G$39:$G$60,"Post-Harvest",$A$39:$A$60)-AVERAGEIF($G$39:$G$60,"Pre-Stocking",$A$39:$A$60)))</f>
        <v/>
      </c>
      <c r="C69" s="19" t="s">
        <v>723</v>
      </c>
      <c r="D69" s="19"/>
    </row>
    <row r="70" customFormat="false" ht="15" hidden="false" customHeight="true" outlineLevel="0" collapsed="false">
      <c r="A70" s="19" t="s">
        <v>724</v>
      </c>
      <c r="B70" s="43" t="str">
        <f aca="false">IF(B69="","",B69*44/12)</f>
        <v/>
      </c>
      <c r="C70" s="19" t="s">
        <v>172</v>
      </c>
      <c r="D70" s="19"/>
    </row>
    <row r="71" customFormat="false" ht="15" hidden="false" customHeight="true" outlineLevel="0" collapsed="false">
      <c r="A71" s="19" t="s">
        <v>725</v>
      </c>
      <c r="B71" s="67" t="str">
        <f aca="false">IFERROR(AVERAGEIF($G$39:$G$60,"Post-Harvest",$D$39:$D$60),IFERROR(AVERAGEIF($G$39:$G$60,"Pre-Stocking",$D$39:$D$60),""))</f>
        <v/>
      </c>
      <c r="C71" s="19" t="s">
        <v>120</v>
      </c>
      <c r="D71" s="19"/>
    </row>
    <row r="72" customFormat="false" ht="27.75" hidden="false" customHeight="true" outlineLevel="0" collapsed="false">
      <c r="A72" s="1" t="s">
        <v>726</v>
      </c>
      <c r="B72" s="44" t="str">
        <f aca="false">IF(B71="","REVIEW: SOIL C:N MISSING",IF(B71&gt;30,"HIGH",IF(B71&gt;20,"MODERATE","LOW")))</f>
        <v>REVIEW: SOIL C:N MISSING</v>
      </c>
      <c r="C72" s="1" t="s">
        <v>186</v>
      </c>
    </row>
  </sheetData>
  <mergeCells count="3">
    <mergeCell ref="A1:E1"/>
    <mergeCell ref="A26:E26"/>
    <mergeCell ref="A37:E37"/>
  </mergeCells>
  <dataValidations count="1">
    <dataValidation allowBlank="true" error="Please select a valid value." errorStyle="stop" errorTitle="Invalid value" operator="between" prompt="Sampling phase" promptTitle="Select value" showDropDown="false" showErrorMessage="true" showInputMessage="true" sqref="G39:G60" type="list">
      <formula1>"Pre-Stocking,Post-Harvest"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46"/>
    <col collapsed="false" customWidth="true" hidden="false" outlineLevel="0" max="2" min="2" style="1" width="18.03"/>
    <col collapsed="false" customWidth="true" hidden="false" outlineLevel="0" max="3" min="3" style="1" width="13.99"/>
    <col collapsed="false" customWidth="true" hidden="false" outlineLevel="0" max="4" min="4" style="1" width="43.99"/>
  </cols>
  <sheetData>
    <row r="1" customFormat="false" ht="19.5" hidden="false" customHeight="true" outlineLevel="0" collapsed="false">
      <c r="A1" s="7" t="s">
        <v>727</v>
      </c>
      <c r="B1" s="7"/>
      <c r="C1" s="7"/>
      <c r="D1" s="7"/>
    </row>
    <row r="4" customFormat="false" ht="19.5" hidden="false" customHeight="true" outlineLevel="0" collapsed="false">
      <c r="A4" s="19" t="s">
        <v>728</v>
      </c>
      <c r="B4" s="20"/>
      <c r="C4" s="20"/>
      <c r="D4" s="20"/>
    </row>
    <row r="5" customFormat="false" ht="25.5" hidden="false" customHeight="true" outlineLevel="0" collapsed="false">
      <c r="A5" s="21" t="s">
        <v>729</v>
      </c>
      <c r="B5" s="87" t="n">
        <f aca="false">'Carbon Accounting'!B18</f>
        <v>50.4203876425986</v>
      </c>
      <c r="C5" s="23" t="s">
        <v>170</v>
      </c>
      <c r="D5" s="24"/>
    </row>
    <row r="6" customFormat="false" ht="25.5" hidden="false" customHeight="true" outlineLevel="0" collapsed="false">
      <c r="A6" s="21" t="s">
        <v>730</v>
      </c>
      <c r="B6" s="87" t="n">
        <f aca="false">'Carbon Accounting'!B19</f>
        <v>22.4867098690802</v>
      </c>
      <c r="C6" s="23" t="s">
        <v>170</v>
      </c>
      <c r="D6" s="24"/>
    </row>
    <row r="8" customFormat="false" ht="19.5" hidden="false" customHeight="true" outlineLevel="0" collapsed="false">
      <c r="A8" s="19" t="s">
        <v>731</v>
      </c>
      <c r="B8" s="20"/>
      <c r="C8" s="20"/>
      <c r="D8" s="20"/>
    </row>
    <row r="9" customFormat="false" ht="25.5" hidden="false" customHeight="true" outlineLevel="0" collapsed="false">
      <c r="A9" s="21" t="s">
        <v>732</v>
      </c>
      <c r="B9" s="87" t="n">
        <f aca="false">B5-B6</f>
        <v>27.9336777735184</v>
      </c>
      <c r="C9" s="23" t="s">
        <v>160</v>
      </c>
      <c r="D9" s="24"/>
    </row>
    <row r="10" customFormat="false" ht="25.5" hidden="false" customHeight="true" outlineLevel="0" collapsed="false">
      <c r="A10" s="21" t="s">
        <v>733</v>
      </c>
      <c r="B10" s="93" t="n">
        <f aca="false">B9/B5</f>
        <v>0.554015529819491</v>
      </c>
      <c r="C10" s="23" t="s">
        <v>299</v>
      </c>
      <c r="D10" s="24"/>
    </row>
    <row r="11" customFormat="false" ht="25.5" hidden="false" customHeight="true" outlineLevel="0" collapsed="false">
      <c r="A11" s="21" t="s">
        <v>734</v>
      </c>
      <c r="B11" s="87" t="n">
        <f aca="false">B9*Dashboard!$B$12</f>
        <v>27.9336777735184</v>
      </c>
      <c r="C11" s="23" t="s">
        <v>172</v>
      </c>
      <c r="D11" s="24"/>
    </row>
    <row r="12" customFormat="false" ht="25.5" hidden="false" customHeight="true" outlineLevel="0" collapsed="false">
      <c r="A12" s="21" t="s">
        <v>735</v>
      </c>
      <c r="B12" s="87" t="n">
        <f aca="false">B11/Dashboard!$B$10</f>
        <v>27.9336777735184</v>
      </c>
      <c r="C12" s="23" t="s">
        <v>736</v>
      </c>
      <c r="D12" s="24"/>
    </row>
    <row r="14" customFormat="false" ht="30" hidden="false" customHeight="true" outlineLevel="0" collapsed="false">
      <c r="A14" s="98" t="s">
        <v>737</v>
      </c>
      <c r="B14" s="98"/>
      <c r="C14" s="98"/>
      <c r="D14" s="98"/>
    </row>
  </sheetData>
  <mergeCells count="2">
    <mergeCell ref="A1:D1"/>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13.99"/>
    <col collapsed="false" customWidth="true" hidden="false" outlineLevel="0" max="2" min="2" style="1" width="11.97"/>
    <col collapsed="false" customWidth="true" hidden="false" outlineLevel="0" max="3" min="3" style="1" width="13.99"/>
    <col collapsed="false" customWidth="true" hidden="false" outlineLevel="0" max="5" min="4" style="1" width="16.01"/>
    <col collapsed="false" customWidth="true" hidden="false" outlineLevel="0" max="7" min="6" style="1" width="18.03"/>
    <col collapsed="false" customWidth="true" hidden="false" outlineLevel="0" max="8" min="8" style="1" width="16.01"/>
  </cols>
  <sheetData>
    <row r="1" customFormat="false" ht="19.5" hidden="false" customHeight="true" outlineLevel="0" collapsed="false">
      <c r="A1" s="7" t="s">
        <v>55</v>
      </c>
      <c r="B1" s="7"/>
      <c r="C1" s="7"/>
      <c r="D1" s="7"/>
      <c r="E1" s="7"/>
      <c r="F1" s="7"/>
      <c r="G1" s="7"/>
      <c r="H1" s="7"/>
    </row>
    <row r="2" customFormat="false" ht="55.5" hidden="false" customHeight="true" outlineLevel="0" collapsed="false">
      <c r="A2" s="17" t="s">
        <v>738</v>
      </c>
      <c r="B2" s="17"/>
      <c r="C2" s="17"/>
      <c r="D2" s="17"/>
      <c r="E2" s="17"/>
      <c r="F2" s="17"/>
      <c r="G2" s="17"/>
      <c r="H2" s="17"/>
    </row>
    <row r="4" customFormat="false" ht="19.5" hidden="false" customHeight="true" outlineLevel="0" collapsed="false">
      <c r="A4" s="19" t="s">
        <v>739</v>
      </c>
      <c r="B4" s="20"/>
      <c r="C4" s="20"/>
      <c r="D4" s="20"/>
      <c r="E4" s="20"/>
      <c r="F4" s="20"/>
      <c r="G4" s="20"/>
      <c r="H4" s="20"/>
    </row>
    <row r="5" customFormat="false" ht="31.5" hidden="false" customHeight="true" outlineLevel="0" collapsed="false">
      <c r="A5" s="8" t="s">
        <v>740</v>
      </c>
      <c r="B5" s="8" t="s">
        <v>741</v>
      </c>
      <c r="C5" s="8" t="s">
        <v>742</v>
      </c>
      <c r="D5" s="8" t="s">
        <v>743</v>
      </c>
      <c r="E5" s="8" t="s">
        <v>744</v>
      </c>
      <c r="F5" s="8" t="s">
        <v>745</v>
      </c>
      <c r="G5" s="8" t="s">
        <v>746</v>
      </c>
      <c r="H5" s="8" t="s">
        <v>747</v>
      </c>
    </row>
    <row r="6" customFormat="false" ht="19.5" hidden="false" customHeight="true" outlineLevel="0" collapsed="false">
      <c r="A6" s="50" t="s">
        <v>748</v>
      </c>
      <c r="B6" s="49" t="n">
        <v>-0.2</v>
      </c>
      <c r="C6" s="32" t="n">
        <f aca="false">Dashboard!$B$30*(1+B6)</f>
        <v>2.4</v>
      </c>
      <c r="D6" s="63" t="n">
        <f aca="false">'Economics Module'!$B$6*(C6/Dashboard!$B$30)</f>
        <v>16640.2132928256</v>
      </c>
      <c r="E6" s="48" t="n">
        <f aca="false">((('Carbon Accounting'!$B$5+'Carbon Accounting'!$B$8+'Carbon Accounting'!$B$9)*(D6/'Economics Module'!$B$6))+('Carbon Accounting'!$B$6+'Carbon Accounting'!$B$7+'Pond Emission Model'!$B$41+'Pond Emission Model'!$B$53))-'Carbon Accounting'!$B$15</f>
        <v>40.3251679864825</v>
      </c>
      <c r="F6" s="32" t="n">
        <f aca="false">E6*1000/'Economics Module'!$B$5</f>
        <v>4.59419236018428</v>
      </c>
      <c r="G6" s="63" t="n">
        <f aca="false">'Economics Module'!$B$29-(D6*'Economics Module'!$B$12+'Economics Module'!$B$23+'Economics Module'!$B$24+'Economics Module'!$B$25+'Economics Module'!$B$15+'Economics Module'!$B$16+'Economics Module'!$B$18)</f>
        <v>197480.343655728</v>
      </c>
      <c r="H6" s="85" t="n">
        <f aca="false">G6-G8</f>
        <v>187202.399544287</v>
      </c>
    </row>
    <row r="7" customFormat="false" ht="19.5" hidden="false" customHeight="true" outlineLevel="0" collapsed="false">
      <c r="A7" s="50" t="s">
        <v>749</v>
      </c>
      <c r="B7" s="49" t="n">
        <v>-0.1</v>
      </c>
      <c r="C7" s="32" t="n">
        <f aca="false">Dashboard!$B$30*(1+B7)</f>
        <v>2.7</v>
      </c>
      <c r="D7" s="63" t="n">
        <f aca="false">'Economics Module'!$B$6*(C7/Dashboard!$B$30)</f>
        <v>18720.2399544287</v>
      </c>
      <c r="E7" s="48" t="n">
        <f aca="false">((('Carbon Accounting'!$B$5+'Carbon Accounting'!$B$8+'Carbon Accounting'!$B$9)*(D7/'Economics Module'!$B$6))+('Carbon Accounting'!$B$6+'Carbon Accounting'!$B$7+'Pond Emission Model'!$B$41+'Pond Emission Model'!$B$53))-'Carbon Accounting'!$B$15</f>
        <v>45.3727778145406</v>
      </c>
      <c r="F7" s="32" t="n">
        <f aca="false">E7*1000/'Economics Module'!$B$5</f>
        <v>5.16925978500018</v>
      </c>
      <c r="G7" s="63" t="n">
        <f aca="false">'Economics Module'!$B$29-(D7*'Economics Module'!$B$12+'Economics Module'!$B$23+'Economics Module'!$B$24+'Economics Module'!$B$25+'Economics Module'!$B$15+'Economics Module'!$B$16+'Economics Module'!$B$18)</f>
        <v>103879.143883585</v>
      </c>
      <c r="H7" s="85" t="n">
        <f aca="false">G7-G8</f>
        <v>93601.1997721437</v>
      </c>
    </row>
    <row r="8" customFormat="false" ht="19.5" hidden="false" customHeight="true" outlineLevel="0" collapsed="false">
      <c r="A8" s="9" t="s">
        <v>750</v>
      </c>
      <c r="B8" s="49" t="n">
        <v>0</v>
      </c>
      <c r="C8" s="32" t="n">
        <f aca="false">Dashboard!$B$30*(1+B8)</f>
        <v>3</v>
      </c>
      <c r="D8" s="63" t="n">
        <f aca="false">'Economics Module'!$B$6*(C8/Dashboard!$B$30)</f>
        <v>20800.2666160319</v>
      </c>
      <c r="E8" s="48" t="n">
        <f aca="false">((('Carbon Accounting'!$B$5+'Carbon Accounting'!$B$8+'Carbon Accounting'!$B$9)*(D8/'Economics Module'!$B$6))+('Carbon Accounting'!$B$6+'Carbon Accounting'!$B$7+'Pond Emission Model'!$B$41+'Pond Emission Model'!$B$53))-'Carbon Accounting'!$B$15</f>
        <v>50.4203876425986</v>
      </c>
      <c r="F8" s="32" t="n">
        <f aca="false">E8*1000/'Economics Module'!$B$5</f>
        <v>5.74432720981609</v>
      </c>
      <c r="G8" s="63" t="n">
        <f aca="false">'Economics Module'!$B$29-(D8*'Economics Module'!$B$12+'Economics Module'!$B$23+'Economics Module'!$B$24+'Economics Module'!$B$25+'Economics Module'!$B$15+'Economics Module'!$B$16+'Economics Module'!$B$18)</f>
        <v>10277.9441114408</v>
      </c>
      <c r="H8" s="85" t="n">
        <f aca="false">G8-G8</f>
        <v>0</v>
      </c>
    </row>
    <row r="9" customFormat="false" ht="19.5" hidden="false" customHeight="true" outlineLevel="0" collapsed="false">
      <c r="A9" s="50" t="s">
        <v>751</v>
      </c>
      <c r="B9" s="49" t="n">
        <v>0.1</v>
      </c>
      <c r="C9" s="32" t="n">
        <f aca="false">Dashboard!$B$30*(1+B9)</f>
        <v>3.3</v>
      </c>
      <c r="D9" s="63" t="n">
        <f aca="false">'Economics Module'!$B$6*(C9/Dashboard!$B$30)</f>
        <v>22880.2932776351</v>
      </c>
      <c r="E9" s="48" t="n">
        <f aca="false">((('Carbon Accounting'!$B$5+'Carbon Accounting'!$B$8+'Carbon Accounting'!$B$9)*(D9/'Economics Module'!$B$6))+('Carbon Accounting'!$B$6+'Carbon Accounting'!$B$7+'Pond Emission Model'!$B$41+'Pond Emission Model'!$B$53))-'Carbon Accounting'!$B$15</f>
        <v>55.4679974706567</v>
      </c>
      <c r="F9" s="32" t="n">
        <f aca="false">E9*1000/'Economics Module'!$B$5</f>
        <v>6.319394634632</v>
      </c>
      <c r="G9" s="63" t="n">
        <f aca="false">'Economics Module'!$B$29-(D9*'Economics Module'!$B$12+'Economics Module'!$B$23+'Economics Module'!$B$24+'Economics Module'!$B$25+'Economics Module'!$B$15+'Economics Module'!$B$16+'Economics Module'!$B$18)</f>
        <v>-83323.2556607029</v>
      </c>
      <c r="H9" s="85" t="n">
        <f aca="false">G9-G8</f>
        <v>-93601.1997721437</v>
      </c>
    </row>
    <row r="10" customFormat="false" ht="19.5" hidden="false" customHeight="true" outlineLevel="0" collapsed="false">
      <c r="A10" s="50" t="s">
        <v>752</v>
      </c>
      <c r="B10" s="49" t="n">
        <v>0.2</v>
      </c>
      <c r="C10" s="32" t="n">
        <f aca="false">Dashboard!$B$30*(1+B10)</f>
        <v>3.6</v>
      </c>
      <c r="D10" s="63" t="n">
        <f aca="false">'Economics Module'!$B$6*(C10/Dashboard!$B$30)</f>
        <v>24960.3199392383</v>
      </c>
      <c r="E10" s="48" t="n">
        <f aca="false">((('Carbon Accounting'!$B$5+'Carbon Accounting'!$B$8+'Carbon Accounting'!$B$9)*(D10/'Economics Module'!$B$6))+('Carbon Accounting'!$B$6+'Carbon Accounting'!$B$7+'Pond Emission Model'!$B$41+'Pond Emission Model'!$B$53))-'Carbon Accounting'!$B$15</f>
        <v>60.5156072987147</v>
      </c>
      <c r="F10" s="32" t="n">
        <f aca="false">E10*1000/'Economics Module'!$B$5</f>
        <v>6.89446205944791</v>
      </c>
      <c r="G10" s="63" t="n">
        <f aca="false">'Economics Module'!$B$29-(D10*'Economics Module'!$B$12+'Economics Module'!$B$23+'Economics Module'!$B$24+'Economics Module'!$B$25+'Economics Module'!$B$15+'Economics Module'!$B$16+'Economics Module'!$B$18)</f>
        <v>-176924.455432847</v>
      </c>
      <c r="H10" s="85" t="n">
        <f aca="false">G10-G8</f>
        <v>-187202.399544287</v>
      </c>
    </row>
    <row r="12" customFormat="false" ht="19.5" hidden="false" customHeight="true" outlineLevel="0" collapsed="false">
      <c r="A12" s="19" t="s">
        <v>753</v>
      </c>
      <c r="B12" s="20"/>
      <c r="C12" s="20"/>
      <c r="D12" s="20"/>
      <c r="E12" s="20"/>
      <c r="F12" s="20"/>
      <c r="G12" s="20"/>
      <c r="H12" s="20"/>
    </row>
    <row r="13" customFormat="false" ht="31.5" hidden="false" customHeight="true" outlineLevel="0" collapsed="false">
      <c r="A13" s="8" t="s">
        <v>740</v>
      </c>
      <c r="B13" s="8" t="s">
        <v>741</v>
      </c>
      <c r="C13" s="8" t="s">
        <v>742</v>
      </c>
      <c r="D13" s="8" t="s">
        <v>743</v>
      </c>
      <c r="E13" s="8" t="s">
        <v>744</v>
      </c>
      <c r="F13" s="8" t="s">
        <v>745</v>
      </c>
      <c r="G13" s="8" t="s">
        <v>746</v>
      </c>
      <c r="H13" s="8" t="s">
        <v>747</v>
      </c>
    </row>
    <row r="14" customFormat="false" ht="19.5" hidden="false" customHeight="true" outlineLevel="0" collapsed="false">
      <c r="A14" s="50" t="s">
        <v>748</v>
      </c>
      <c r="B14" s="49" t="n">
        <v>-0.2</v>
      </c>
      <c r="C14" s="49" t="n">
        <f aca="false">MIN(1,Dashboard!$B$22*(1+B14))</f>
        <v>0.64</v>
      </c>
      <c r="D14" s="63" t="n">
        <f aca="false">'Economics Module'!$B$5*(C14/Dashboard!$B$22)</f>
        <v>7021.93810358695</v>
      </c>
      <c r="E14" s="48" t="n">
        <f aca="false">((('Carbon Accounting'!$B$5+'Carbon Accounting'!$B$8+'Carbon Accounting'!$B$9)*(('Economics Module'!$B$6*(C14/Dashboard!$B$22))/'Economics Module'!$B$6))+('Carbon Accounting'!$B$6+'Carbon Accounting'!$B$7+'Pond Emission Model'!$B$41+'Pond Emission Model'!$B$53))-('Carbon Accounting'!$B$15*(D14/'Economics Module'!$B$5))</f>
        <v>40.8401101140789</v>
      </c>
      <c r="F14" s="32" t="n">
        <f aca="false">E14*1000/D14</f>
        <v>5.81607378356368</v>
      </c>
      <c r="G14" s="63" t="n">
        <f aca="false">(D14*'Economics Module'!$B$19)-(('Economics Module'!$B$6*(C14/Dashboard!$B$22))*'Economics Module'!$B$12+'Economics Module'!$B$23+'Economics Module'!$B$24+'Economics Module'!$B$25+'Economics Module'!$B$15+'Economics Module'!$B$16+'Economics Module'!$B$18)</f>
        <v>-30732.6447108472</v>
      </c>
      <c r="H14" s="85" t="n">
        <f aca="false">G14-G16</f>
        <v>-41010.588822288</v>
      </c>
    </row>
    <row r="15" customFormat="false" ht="19.5" hidden="false" customHeight="true" outlineLevel="0" collapsed="false">
      <c r="A15" s="50" t="s">
        <v>749</v>
      </c>
      <c r="B15" s="49" t="n">
        <v>-0.1</v>
      </c>
      <c r="C15" s="49" t="n">
        <f aca="false">MIN(1,Dashboard!$B$22*(1+B15))</f>
        <v>0.72</v>
      </c>
      <c r="D15" s="63" t="n">
        <f aca="false">'Economics Module'!$B$5*(C15/Dashboard!$B$22)</f>
        <v>7899.68036653531</v>
      </c>
      <c r="E15" s="48" t="n">
        <f aca="false">((('Carbon Accounting'!$B$5+'Carbon Accounting'!$B$8+'Carbon Accounting'!$B$9)*(('Economics Module'!$B$6*(C15/Dashboard!$B$22))/'Economics Module'!$B$6))+('Carbon Accounting'!$B$6+'Carbon Accounting'!$B$7+'Pond Emission Model'!$B$41+'Pond Emission Model'!$B$53))-('Carbon Accounting'!$B$15*(D15/'Economics Module'!$B$5))</f>
        <v>45.6302488783388</v>
      </c>
      <c r="F15" s="32" t="n">
        <f aca="false">E15*1000/D15</f>
        <v>5.77621457592613</v>
      </c>
      <c r="G15" s="63" t="n">
        <f aca="false">(D15*'Economics Module'!$B$19)-(('Economics Module'!$B$6*(C15/Dashboard!$B$22))*'Economics Module'!$B$12+'Economics Module'!$B$23+'Economics Module'!$B$24+'Economics Module'!$B$25+'Economics Module'!$B$15+'Economics Module'!$B$16+'Economics Module'!$B$18)</f>
        <v>-10227.3502997032</v>
      </c>
      <c r="H15" s="85" t="n">
        <f aca="false">G15-G16</f>
        <v>-20505.294411144</v>
      </c>
    </row>
    <row r="16" customFormat="false" ht="19.5" hidden="false" customHeight="true" outlineLevel="0" collapsed="false">
      <c r="A16" s="9" t="s">
        <v>750</v>
      </c>
      <c r="B16" s="49" t="n">
        <v>0</v>
      </c>
      <c r="C16" s="49" t="n">
        <f aca="false">MIN(1,Dashboard!$B$22*(1+B16))</f>
        <v>0.8</v>
      </c>
      <c r="D16" s="63" t="n">
        <f aca="false">'Economics Module'!$B$5*(C16/Dashboard!$B$22)</f>
        <v>8777.42262948368</v>
      </c>
      <c r="E16" s="48" t="n">
        <f aca="false">((('Carbon Accounting'!$B$5+'Carbon Accounting'!$B$8+'Carbon Accounting'!$B$9)*(('Economics Module'!$B$6*(C16/Dashboard!$B$22))/'Economics Module'!$B$6))+('Carbon Accounting'!$B$6+'Carbon Accounting'!$B$7+'Pond Emission Model'!$B$41+'Pond Emission Model'!$B$53))-('Carbon Accounting'!$B$15*(D16/'Economics Module'!$B$5))</f>
        <v>50.4203876425986</v>
      </c>
      <c r="F16" s="32" t="n">
        <f aca="false">E16*1000/D16</f>
        <v>5.74432720981609</v>
      </c>
      <c r="G16" s="63" t="n">
        <f aca="false">(D16*'Economics Module'!$B$19)-(('Economics Module'!$B$6*(C16/Dashboard!$B$22))*'Economics Module'!$B$12+'Economics Module'!$B$23+'Economics Module'!$B$24+'Economics Module'!$B$25+'Economics Module'!$B$15+'Economics Module'!$B$16+'Economics Module'!$B$18)</f>
        <v>10277.9441114408</v>
      </c>
      <c r="H16" s="85" t="n">
        <f aca="false">G16-G16</f>
        <v>0</v>
      </c>
    </row>
    <row r="17" customFormat="false" ht="19.5" hidden="false" customHeight="true" outlineLevel="0" collapsed="false">
      <c r="A17" s="50" t="s">
        <v>751</v>
      </c>
      <c r="B17" s="49" t="n">
        <v>0.1</v>
      </c>
      <c r="C17" s="49" t="n">
        <f aca="false">MIN(1,Dashboard!$B$22*(1+B17))</f>
        <v>0.88</v>
      </c>
      <c r="D17" s="63" t="n">
        <f aca="false">'Economics Module'!$B$5*(C17/Dashboard!$B$22)</f>
        <v>9655.16489243205</v>
      </c>
      <c r="E17" s="48" t="n">
        <f aca="false">((('Carbon Accounting'!$B$5+'Carbon Accounting'!$B$8+'Carbon Accounting'!$B$9)*(('Economics Module'!$B$6*(C17/Dashboard!$B$22))/'Economics Module'!$B$6))+('Carbon Accounting'!$B$6+'Carbon Accounting'!$B$7+'Pond Emission Model'!$B$41+'Pond Emission Model'!$B$53))-('Carbon Accounting'!$B$15*(D17/'Economics Module'!$B$5))</f>
        <v>55.2105264068585</v>
      </c>
      <c r="F17" s="32" t="n">
        <f aca="false">E17*1000/D17</f>
        <v>5.71823754663515</v>
      </c>
      <c r="G17" s="63" t="n">
        <f aca="false">(D17*'Economics Module'!$B$19)-(('Economics Module'!$B$6*(C17/Dashboard!$B$22))*'Economics Module'!$B$12+'Economics Module'!$B$23+'Economics Module'!$B$24+'Economics Module'!$B$25+'Economics Module'!$B$15+'Economics Module'!$B$16+'Economics Module'!$B$18)</f>
        <v>30783.238522585</v>
      </c>
      <c r="H17" s="85" t="n">
        <f aca="false">G17-G16</f>
        <v>20505.2944111442</v>
      </c>
    </row>
    <row r="18" customFormat="false" ht="19.5" hidden="false" customHeight="true" outlineLevel="0" collapsed="false">
      <c r="A18" s="50" t="s">
        <v>752</v>
      </c>
      <c r="B18" s="49" t="n">
        <v>0.2</v>
      </c>
      <c r="C18" s="49" t="n">
        <f aca="false">MIN(1,Dashboard!$B$22*(1+B18))</f>
        <v>0.96</v>
      </c>
      <c r="D18" s="63" t="n">
        <f aca="false">'Economics Module'!$B$5*(C18/Dashboard!$B$22)</f>
        <v>10532.9071553804</v>
      </c>
      <c r="E18" s="48" t="n">
        <f aca="false">((('Carbon Accounting'!$B$5+'Carbon Accounting'!$B$8+'Carbon Accounting'!$B$9)*(('Economics Module'!$B$6*(C18/Dashboard!$B$22))/'Economics Module'!$B$6))+('Carbon Accounting'!$B$6+'Carbon Accounting'!$B$7+'Pond Emission Model'!$B$41+'Pond Emission Model'!$B$53))-('Carbon Accounting'!$B$15*(D18/'Economics Module'!$B$5))</f>
        <v>60.0006651711183</v>
      </c>
      <c r="F18" s="32" t="n">
        <f aca="false">E18*1000/D18</f>
        <v>5.69649616065103</v>
      </c>
      <c r="G18" s="63" t="n">
        <f aca="false">(D18*'Economics Module'!$B$19)-(('Economics Module'!$B$6*(C18/Dashboard!$B$22))*'Economics Module'!$B$12+'Economics Module'!$B$23+'Economics Module'!$B$24+'Economics Module'!$B$25+'Economics Module'!$B$15+'Economics Module'!$B$16+'Economics Module'!$B$18)</f>
        <v>51288.5329337292</v>
      </c>
      <c r="H18" s="85" t="n">
        <f aca="false">G18-G16</f>
        <v>41010.5888222884</v>
      </c>
    </row>
    <row r="20" customFormat="false" ht="19.5" hidden="false" customHeight="true" outlineLevel="0" collapsed="false">
      <c r="A20" s="19" t="s">
        <v>754</v>
      </c>
      <c r="B20" s="20"/>
      <c r="C20" s="20"/>
      <c r="D20" s="20"/>
      <c r="E20" s="20"/>
      <c r="F20" s="20"/>
      <c r="G20" s="20"/>
      <c r="H20" s="20"/>
    </row>
    <row r="21" customFormat="false" ht="31.5" hidden="false" customHeight="true" outlineLevel="0" collapsed="false">
      <c r="A21" s="8" t="s">
        <v>740</v>
      </c>
      <c r="B21" s="8" t="s">
        <v>741</v>
      </c>
      <c r="C21" s="8" t="s">
        <v>742</v>
      </c>
      <c r="D21" s="8" t="s">
        <v>743</v>
      </c>
      <c r="E21" s="8" t="s">
        <v>744</v>
      </c>
      <c r="F21" s="8" t="s">
        <v>745</v>
      </c>
      <c r="G21" s="8" t="s">
        <v>746</v>
      </c>
      <c r="H21" s="8" t="s">
        <v>747</v>
      </c>
    </row>
    <row r="22" customFormat="false" ht="19.5" hidden="false" customHeight="true" outlineLevel="0" collapsed="false">
      <c r="A22" s="50" t="s">
        <v>748</v>
      </c>
      <c r="B22" s="49" t="n">
        <v>-0.2</v>
      </c>
      <c r="C22" s="49" t="n">
        <f aca="false">1+B22</f>
        <v>0.8</v>
      </c>
      <c r="D22" s="63" t="n">
        <f aca="false">'Economics Module'!$B$5</f>
        <v>8777.42262948368</v>
      </c>
      <c r="E22" s="48" t="n">
        <f aca="false">(('Carbon Accounting'!$B$5+'Carbon Accounting'!$B$8+'Carbon Accounting'!$B$9+'Pond Emission Model'!$B$41+'Pond Emission Model'!$B$53)+(('Carbon Accounting'!$B$6+'Carbon Accounting'!$B$7)*C22))-'Carbon Accounting'!$B$15</f>
        <v>49.9293876425986</v>
      </c>
      <c r="F22" s="32" t="n">
        <f aca="false">E22*1000/D22</f>
        <v>5.68838823766831</v>
      </c>
      <c r="G22" s="63" t="n">
        <f aca="false">'Economics Module'!$B$29-((('Economics Module'!$B$23+'Economics Module'!$B$24)*C22)+('Economics Module'!$B$22+'Economics Module'!$B$25+'Economics Module'!$B$15+'Economics Module'!$B$16+'Economics Module'!$B$18))</f>
        <v>23857.9441114408</v>
      </c>
      <c r="H22" s="85" t="n">
        <f aca="false">G22-G24</f>
        <v>13580</v>
      </c>
    </row>
    <row r="23" customFormat="false" ht="19.5" hidden="false" customHeight="true" outlineLevel="0" collapsed="false">
      <c r="A23" s="50" t="s">
        <v>749</v>
      </c>
      <c r="B23" s="49" t="n">
        <v>-0.1</v>
      </c>
      <c r="C23" s="49" t="n">
        <f aca="false">1+B23</f>
        <v>0.9</v>
      </c>
      <c r="D23" s="63" t="n">
        <f aca="false">'Economics Module'!$B$5</f>
        <v>8777.42262948368</v>
      </c>
      <c r="E23" s="48" t="n">
        <f aca="false">(('Carbon Accounting'!$B$5+'Carbon Accounting'!$B$8+'Carbon Accounting'!$B$9+'Pond Emission Model'!$B$41+'Pond Emission Model'!$B$53)+(('Carbon Accounting'!$B$6+'Carbon Accounting'!$B$7)*C23))-'Carbon Accounting'!$B$15</f>
        <v>50.1748876425986</v>
      </c>
      <c r="F23" s="32" t="n">
        <f aca="false">E23*1000/D23</f>
        <v>5.7163577237422</v>
      </c>
      <c r="G23" s="63" t="n">
        <f aca="false">'Economics Module'!$B$29-((('Economics Module'!$B$23+'Economics Module'!$B$24)*C23)+('Economics Module'!$B$22+'Economics Module'!$B$25+'Economics Module'!$B$15+'Economics Module'!$B$16+'Economics Module'!$B$18))</f>
        <v>17067.9441114408</v>
      </c>
      <c r="H23" s="85" t="n">
        <f aca="false">G23-G24</f>
        <v>6790</v>
      </c>
    </row>
    <row r="24" customFormat="false" ht="19.5" hidden="false" customHeight="true" outlineLevel="0" collapsed="false">
      <c r="A24" s="9" t="s">
        <v>750</v>
      </c>
      <c r="B24" s="49" t="n">
        <v>0</v>
      </c>
      <c r="C24" s="49" t="n">
        <f aca="false">1+B24</f>
        <v>1</v>
      </c>
      <c r="D24" s="63" t="n">
        <f aca="false">'Economics Module'!$B$5</f>
        <v>8777.42262948368</v>
      </c>
      <c r="E24" s="48" t="n">
        <f aca="false">(('Carbon Accounting'!$B$5+'Carbon Accounting'!$B$8+'Carbon Accounting'!$B$9+'Pond Emission Model'!$B$41+'Pond Emission Model'!$B$53)+(('Carbon Accounting'!$B$6+'Carbon Accounting'!$B$7)*C24))-'Carbon Accounting'!$B$15</f>
        <v>50.4203876425986</v>
      </c>
      <c r="F24" s="32" t="n">
        <f aca="false">E24*1000/D24</f>
        <v>5.74432720981609</v>
      </c>
      <c r="G24" s="63" t="n">
        <f aca="false">'Economics Module'!$B$29-((('Economics Module'!$B$23+'Economics Module'!$B$24)*C24)+('Economics Module'!$B$22+'Economics Module'!$B$25+'Economics Module'!$B$15+'Economics Module'!$B$16+'Economics Module'!$B$18))</f>
        <v>10277.9441114408</v>
      </c>
      <c r="H24" s="85" t="n">
        <f aca="false">G24-G24</f>
        <v>0</v>
      </c>
    </row>
    <row r="25" customFormat="false" ht="19.5" hidden="false" customHeight="true" outlineLevel="0" collapsed="false">
      <c r="A25" s="50" t="s">
        <v>751</v>
      </c>
      <c r="B25" s="49" t="n">
        <v>0.1</v>
      </c>
      <c r="C25" s="49" t="n">
        <f aca="false">1+B25</f>
        <v>1.1</v>
      </c>
      <c r="D25" s="63" t="n">
        <f aca="false">'Economics Module'!$B$5</f>
        <v>8777.42262948368</v>
      </c>
      <c r="E25" s="48" t="n">
        <f aca="false">(('Carbon Accounting'!$B$5+'Carbon Accounting'!$B$8+'Carbon Accounting'!$B$9+'Pond Emission Model'!$B$41+'Pond Emission Model'!$B$53)+(('Carbon Accounting'!$B$6+'Carbon Accounting'!$B$7)*C25))-'Carbon Accounting'!$B$15</f>
        <v>50.6658876425986</v>
      </c>
      <c r="F25" s="32" t="n">
        <f aca="false">E25*1000/D25</f>
        <v>5.77229669588998</v>
      </c>
      <c r="G25" s="63" t="n">
        <f aca="false">'Economics Module'!$B$29-((('Economics Module'!$B$23+'Economics Module'!$B$24)*C25)+('Economics Module'!$B$22+'Economics Module'!$B$25+'Economics Module'!$B$15+'Economics Module'!$B$16+'Economics Module'!$B$18))</f>
        <v>3487.9441114408</v>
      </c>
      <c r="H25" s="85" t="n">
        <f aca="false">G25-G24</f>
        <v>-6790</v>
      </c>
    </row>
    <row r="26" customFormat="false" ht="19.5" hidden="false" customHeight="true" outlineLevel="0" collapsed="false">
      <c r="A26" s="50" t="s">
        <v>752</v>
      </c>
      <c r="B26" s="49" t="n">
        <v>0.2</v>
      </c>
      <c r="C26" s="49" t="n">
        <f aca="false">1+B26</f>
        <v>1.2</v>
      </c>
      <c r="D26" s="63" t="n">
        <f aca="false">'Economics Module'!$B$5</f>
        <v>8777.42262948368</v>
      </c>
      <c r="E26" s="48" t="n">
        <f aca="false">(('Carbon Accounting'!$B$5+'Carbon Accounting'!$B$8+'Carbon Accounting'!$B$9+'Pond Emission Model'!$B$41+'Pond Emission Model'!$B$53)+(('Carbon Accounting'!$B$6+'Carbon Accounting'!$B$7)*C26))-'Carbon Accounting'!$B$15</f>
        <v>50.9113876425986</v>
      </c>
      <c r="F26" s="32" t="n">
        <f aca="false">E26*1000/D26</f>
        <v>5.80026618196388</v>
      </c>
      <c r="G26" s="63" t="n">
        <f aca="false">'Economics Module'!$B$29-((('Economics Module'!$B$23+'Economics Module'!$B$24)*C26)+('Economics Module'!$B$22+'Economics Module'!$B$25+'Economics Module'!$B$15+'Economics Module'!$B$16+'Economics Module'!$B$18))</f>
        <v>-3302.0558885592</v>
      </c>
      <c r="H26" s="85" t="n">
        <f aca="false">G26-G24</f>
        <v>-13580</v>
      </c>
    </row>
    <row r="28" customFormat="false" ht="19.5" hidden="false" customHeight="true" outlineLevel="0" collapsed="false">
      <c r="A28" s="19" t="s">
        <v>755</v>
      </c>
      <c r="B28" s="20"/>
      <c r="C28" s="20"/>
      <c r="D28" s="20"/>
      <c r="E28" s="20"/>
      <c r="F28" s="20"/>
      <c r="G28" s="20"/>
      <c r="H28" s="20"/>
    </row>
    <row r="29" customFormat="false" ht="31.5" hidden="false" customHeight="true" outlineLevel="0" collapsed="false">
      <c r="A29" s="8" t="s">
        <v>740</v>
      </c>
      <c r="B29" s="8" t="s">
        <v>741</v>
      </c>
      <c r="C29" s="8" t="s">
        <v>742</v>
      </c>
      <c r="D29" s="8" t="s">
        <v>743</v>
      </c>
      <c r="E29" s="8" t="s">
        <v>744</v>
      </c>
      <c r="F29" s="8" t="s">
        <v>745</v>
      </c>
      <c r="G29" s="8" t="s">
        <v>746</v>
      </c>
      <c r="H29" s="8" t="s">
        <v>747</v>
      </c>
    </row>
    <row r="30" customFormat="false" ht="19.5" hidden="false" customHeight="true" outlineLevel="0" collapsed="false">
      <c r="A30" s="50" t="s">
        <v>748</v>
      </c>
      <c r="B30" s="49" t="n">
        <v>-0.2</v>
      </c>
      <c r="C30" s="86" t="n">
        <f aca="false">'Pond Emission Model'!$B$9*(1+B30)</f>
        <v>0.16</v>
      </c>
      <c r="D30" s="63" t="n">
        <f aca="false">'Economics Module'!$B$5</f>
        <v>8777.42262948368</v>
      </c>
      <c r="E30" s="48" t="n">
        <f aca="false">(('Carbon Accounting'!$B$5+'Carbon Accounting'!$B$6+'Carbon Accounting'!$B$7+'Carbon Accounting'!$B$9+'Pond Emission Model'!$B$41+'Pond Emission Model'!$B$53)+('Carbon Accounting'!$B$8*(C30/'Pond Emission Model'!$B$9)))-'Carbon Accounting'!$B$15</f>
        <v>43.2882258231607</v>
      </c>
      <c r="F30" s="32" t="n">
        <f aca="false">E30*1000/D30</f>
        <v>4.93176956954926</v>
      </c>
      <c r="G30" s="63" t="n">
        <f aca="false">'Economics Module'!$B$30</f>
        <v>10277.9441114408</v>
      </c>
      <c r="H30" s="85" t="n">
        <f aca="false">G30-G32</f>
        <v>0</v>
      </c>
    </row>
    <row r="31" customFormat="false" ht="19.5" hidden="false" customHeight="true" outlineLevel="0" collapsed="false">
      <c r="A31" s="50" t="s">
        <v>749</v>
      </c>
      <c r="B31" s="49" t="n">
        <v>-0.1</v>
      </c>
      <c r="C31" s="86" t="n">
        <f aca="false">'Pond Emission Model'!$B$9*(1+B31)</f>
        <v>0.18</v>
      </c>
      <c r="D31" s="63" t="n">
        <f aca="false">'Economics Module'!$B$5</f>
        <v>8777.42262948368</v>
      </c>
      <c r="E31" s="48" t="n">
        <f aca="false">(('Carbon Accounting'!$B$5+'Carbon Accounting'!$B$6+'Carbon Accounting'!$B$7+'Carbon Accounting'!$B$9+'Pond Emission Model'!$B$41+'Pond Emission Model'!$B$53)+('Carbon Accounting'!$B$8*(C31/'Pond Emission Model'!$B$9)))-'Carbon Accounting'!$B$15</f>
        <v>46.8543067328796</v>
      </c>
      <c r="F31" s="32" t="n">
        <f aca="false">E31*1000/D31</f>
        <v>5.33804838968268</v>
      </c>
      <c r="G31" s="63" t="n">
        <f aca="false">'Economics Module'!$B$30</f>
        <v>10277.9441114408</v>
      </c>
      <c r="H31" s="85" t="n">
        <f aca="false">G31-G32</f>
        <v>0</v>
      </c>
    </row>
    <row r="32" customFormat="false" ht="19.5" hidden="false" customHeight="true" outlineLevel="0" collapsed="false">
      <c r="A32" s="9" t="s">
        <v>750</v>
      </c>
      <c r="B32" s="49" t="n">
        <v>0</v>
      </c>
      <c r="C32" s="86" t="n">
        <f aca="false">'Pond Emission Model'!$B$9*(1+B32)</f>
        <v>0.2</v>
      </c>
      <c r="D32" s="63" t="n">
        <f aca="false">'Economics Module'!$B$5</f>
        <v>8777.42262948368</v>
      </c>
      <c r="E32" s="48" t="n">
        <f aca="false">(('Carbon Accounting'!$B$5+'Carbon Accounting'!$B$6+'Carbon Accounting'!$B$7+'Carbon Accounting'!$B$9+'Pond Emission Model'!$B$41+'Pond Emission Model'!$B$53)+('Carbon Accounting'!$B$8*(C32/'Pond Emission Model'!$B$9)))-'Carbon Accounting'!$B$15</f>
        <v>50.4203876425986</v>
      </c>
      <c r="F32" s="32" t="n">
        <f aca="false">E32*1000/D32</f>
        <v>5.74432720981609</v>
      </c>
      <c r="G32" s="63" t="n">
        <f aca="false">'Economics Module'!$B$30</f>
        <v>10277.9441114408</v>
      </c>
      <c r="H32" s="85" t="n">
        <f aca="false">G32-G32</f>
        <v>0</v>
      </c>
    </row>
    <row r="33" customFormat="false" ht="19.5" hidden="false" customHeight="true" outlineLevel="0" collapsed="false">
      <c r="A33" s="50" t="s">
        <v>751</v>
      </c>
      <c r="B33" s="49" t="n">
        <v>0.1</v>
      </c>
      <c r="C33" s="86" t="n">
        <f aca="false">'Pond Emission Model'!$B$9*(1+B33)</f>
        <v>0.22</v>
      </c>
      <c r="D33" s="63" t="n">
        <f aca="false">'Economics Module'!$B$5</f>
        <v>8777.42262948368</v>
      </c>
      <c r="E33" s="48" t="n">
        <f aca="false">(('Carbon Accounting'!$B$5+'Carbon Accounting'!$B$6+'Carbon Accounting'!$B$7+'Carbon Accounting'!$B$9+'Pond Emission Model'!$B$41+'Pond Emission Model'!$B$53)+('Carbon Accounting'!$B$8*(C33/'Pond Emission Model'!$B$9)))-'Carbon Accounting'!$B$15</f>
        <v>53.9864685523176</v>
      </c>
      <c r="F33" s="32" t="n">
        <f aca="false">E33*1000/D33</f>
        <v>6.15060602994951</v>
      </c>
      <c r="G33" s="63" t="n">
        <f aca="false">'Economics Module'!$B$30</f>
        <v>10277.9441114408</v>
      </c>
      <c r="H33" s="85" t="n">
        <f aca="false">G33-G32</f>
        <v>0</v>
      </c>
    </row>
    <row r="34" customFormat="false" ht="19.5" hidden="false" customHeight="true" outlineLevel="0" collapsed="false">
      <c r="A34" s="50" t="s">
        <v>752</v>
      </c>
      <c r="B34" s="49" t="n">
        <v>0.2</v>
      </c>
      <c r="C34" s="86" t="n">
        <f aca="false">'Pond Emission Model'!$B$9*(1+B34)</f>
        <v>0.24</v>
      </c>
      <c r="D34" s="63" t="n">
        <f aca="false">'Economics Module'!$B$5</f>
        <v>8777.42262948368</v>
      </c>
      <c r="E34" s="48" t="n">
        <f aca="false">(('Carbon Accounting'!$B$5+'Carbon Accounting'!$B$6+'Carbon Accounting'!$B$7+'Carbon Accounting'!$B$9+'Pond Emission Model'!$B$41+'Pond Emission Model'!$B$53)+('Carbon Accounting'!$B$8*(C34/'Pond Emission Model'!$B$9)))-'Carbon Accounting'!$B$15</f>
        <v>57.5525494620366</v>
      </c>
      <c r="F34" s="32" t="n">
        <f aca="false">E34*1000/D34</f>
        <v>6.55688485008293</v>
      </c>
      <c r="G34" s="63" t="n">
        <f aca="false">'Economics Module'!$B$30</f>
        <v>10277.9441114408</v>
      </c>
      <c r="H34" s="85" t="n">
        <f aca="false">G34-G32</f>
        <v>0</v>
      </c>
    </row>
    <row r="36" customFormat="false" ht="25.5" hidden="false" customHeight="true" outlineLevel="0" collapsed="false">
      <c r="A36" s="60" t="s">
        <v>756</v>
      </c>
      <c r="B36" s="60"/>
      <c r="C36" s="60"/>
      <c r="D36" s="60"/>
      <c r="E36" s="60"/>
      <c r="F36" s="60"/>
      <c r="G36" s="60"/>
      <c r="H36" s="60"/>
    </row>
  </sheetData>
  <mergeCells count="3">
    <mergeCell ref="A1:H1"/>
    <mergeCell ref="A2:H2"/>
    <mergeCell ref="A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39.97"/>
    <col collapsed="false" customWidth="true" hidden="false" outlineLevel="0" max="2" min="2" style="1" width="23.94"/>
    <col collapsed="false" customWidth="true" hidden="false" outlineLevel="0" max="3" min="3" style="1" width="13.99"/>
    <col collapsed="false" customWidth="true" hidden="false" outlineLevel="0" max="4" min="4" style="1" width="39.97"/>
  </cols>
  <sheetData>
    <row r="1" customFormat="false" ht="19.5" hidden="false" customHeight="true" outlineLevel="0" collapsed="false">
      <c r="A1" s="7" t="s">
        <v>757</v>
      </c>
      <c r="B1" s="7"/>
      <c r="C1" s="7"/>
      <c r="D1" s="7"/>
    </row>
    <row r="2" customFormat="false" ht="15" hidden="false" customHeight="true" outlineLevel="0" collapsed="false">
      <c r="A2" s="17" t="s">
        <v>758</v>
      </c>
      <c r="B2" s="17"/>
      <c r="C2" s="17"/>
      <c r="D2" s="17"/>
    </row>
    <row r="4" customFormat="false" ht="19.5" hidden="false" customHeight="true" outlineLevel="0" collapsed="false">
      <c r="A4" s="19" t="s">
        <v>759</v>
      </c>
      <c r="B4" s="20"/>
      <c r="C4" s="20"/>
      <c r="D4" s="20"/>
    </row>
    <row r="5" customFormat="false" ht="25.5" hidden="false" customHeight="true" outlineLevel="0" collapsed="false">
      <c r="A5" s="47" t="s">
        <v>98</v>
      </c>
      <c r="B5" s="50" t="str">
        <f aca="false">Dashboard!$B$5</f>
        <v>IMC</v>
      </c>
      <c r="C5" s="23"/>
      <c r="D5" s="24"/>
    </row>
    <row r="6" customFormat="false" ht="25.5" hidden="false" customHeight="true" outlineLevel="0" collapsed="false">
      <c r="A6" s="47" t="s">
        <v>102</v>
      </c>
      <c r="B6" s="50" t="str">
        <f aca="false">Dashboard!$B$6</f>
        <v>Sample Farm</v>
      </c>
      <c r="C6" s="23"/>
      <c r="D6" s="24"/>
    </row>
    <row r="7" customFormat="false" ht="25.5" hidden="false" customHeight="true" outlineLevel="0" collapsed="false">
      <c r="A7" s="47" t="s">
        <v>110</v>
      </c>
      <c r="B7" s="32" t="n">
        <f aca="false">Dashboard!$B$10</f>
        <v>1</v>
      </c>
      <c r="C7" s="23" t="s">
        <v>111</v>
      </c>
      <c r="D7" s="24"/>
    </row>
    <row r="8" customFormat="false" ht="25.5" hidden="false" customHeight="true" outlineLevel="0" collapsed="false">
      <c r="A8" s="47" t="s">
        <v>606</v>
      </c>
      <c r="B8" s="80" t="n">
        <f aca="false">Dashboard!$B$12</f>
        <v>1</v>
      </c>
      <c r="C8" s="23" t="s">
        <v>117</v>
      </c>
      <c r="D8" s="24"/>
    </row>
    <row r="10" customFormat="false" ht="19.5" hidden="false" customHeight="true" outlineLevel="0" collapsed="false">
      <c r="A10" s="19" t="s">
        <v>760</v>
      </c>
      <c r="B10" s="20"/>
      <c r="C10" s="20"/>
      <c r="D10" s="20"/>
    </row>
    <row r="11" customFormat="false" ht="25.5" hidden="false" customHeight="true" outlineLevel="0" collapsed="false">
      <c r="A11" s="47" t="s">
        <v>151</v>
      </c>
      <c r="B11" s="63" t="n">
        <f aca="false">'Harvest Schedule'!B15</f>
        <v>8777.42262948368</v>
      </c>
      <c r="C11" s="23" t="s">
        <v>141</v>
      </c>
      <c r="D11" s="24"/>
    </row>
    <row r="12" customFormat="false" ht="25.5" hidden="false" customHeight="true" outlineLevel="0" collapsed="false">
      <c r="A12" s="47" t="s">
        <v>152</v>
      </c>
      <c r="B12" s="63" t="n">
        <f aca="false">'Growth &amp; Feed Model'!B25</f>
        <v>20800.2666160319</v>
      </c>
      <c r="C12" s="23" t="s">
        <v>141</v>
      </c>
      <c r="D12" s="24"/>
    </row>
    <row r="13" customFormat="false" ht="25.5" hidden="false" customHeight="true" outlineLevel="0" collapsed="false">
      <c r="A13" s="47" t="s">
        <v>302</v>
      </c>
      <c r="B13" s="32" t="n">
        <f aca="false">Dashboard!$B$30</f>
        <v>3</v>
      </c>
      <c r="C13" s="23" t="s">
        <v>120</v>
      </c>
      <c r="D13" s="24"/>
    </row>
    <row r="15" customFormat="false" ht="19.5" hidden="false" customHeight="true" outlineLevel="0" collapsed="false">
      <c r="A15" s="19" t="s">
        <v>761</v>
      </c>
      <c r="B15" s="20"/>
      <c r="C15" s="20"/>
      <c r="D15" s="20"/>
    </row>
    <row r="16" customFormat="false" ht="25.5" hidden="false" customHeight="true" outlineLevel="0" collapsed="false">
      <c r="A16" s="47" t="s">
        <v>667</v>
      </c>
      <c r="B16" s="48" t="n">
        <f aca="false">'Carbon Accounting'!B5</f>
        <v>12.7921639688596</v>
      </c>
      <c r="C16" s="23" t="s">
        <v>160</v>
      </c>
      <c r="D16" s="24"/>
    </row>
    <row r="17" customFormat="false" ht="25.5" hidden="false" customHeight="true" outlineLevel="0" collapsed="false">
      <c r="A17" s="47" t="s">
        <v>546</v>
      </c>
      <c r="B17" s="48" t="n">
        <f aca="false">'Carbon Accounting'!B6</f>
        <v>0.355</v>
      </c>
      <c r="C17" s="23" t="s">
        <v>160</v>
      </c>
      <c r="D17" s="24"/>
    </row>
    <row r="18" customFormat="false" ht="25.5" hidden="false" customHeight="true" outlineLevel="0" collapsed="false">
      <c r="A18" s="47" t="s">
        <v>547</v>
      </c>
      <c r="B18" s="48" t="n">
        <f aca="false">'Carbon Accounting'!B7</f>
        <v>2.1</v>
      </c>
      <c r="C18" s="23" t="s">
        <v>160</v>
      </c>
      <c r="D18" s="24"/>
    </row>
    <row r="19" customFormat="false" ht="25.5" hidden="false" customHeight="true" outlineLevel="0" collapsed="false">
      <c r="A19" s="47" t="s">
        <v>441</v>
      </c>
      <c r="B19" s="48" t="n">
        <f aca="false">'Carbon Accounting'!B8</f>
        <v>35.6608090971898</v>
      </c>
      <c r="C19" s="23" t="s">
        <v>160</v>
      </c>
      <c r="D19" s="24"/>
    </row>
    <row r="20" customFormat="false" ht="25.5" hidden="false" customHeight="true" outlineLevel="0" collapsed="false">
      <c r="A20" s="47" t="s">
        <v>447</v>
      </c>
      <c r="B20" s="48" t="n">
        <f aca="false">'Carbon Accounting'!B9</f>
        <v>2.02312521453104</v>
      </c>
      <c r="C20" s="23" t="s">
        <v>160</v>
      </c>
      <c r="D20" s="24"/>
    </row>
    <row r="21" customFormat="false" ht="25.5" hidden="false" customHeight="true" outlineLevel="0" collapsed="false">
      <c r="A21" s="21" t="s">
        <v>762</v>
      </c>
      <c r="B21" s="87" t="n">
        <f aca="false">'Carbon Accounting'!B10</f>
        <v>52.9950982805805</v>
      </c>
      <c r="C21" s="23" t="s">
        <v>160</v>
      </c>
      <c r="D21" s="24"/>
    </row>
    <row r="22" customFormat="false" ht="25.5" hidden="false" customHeight="true" outlineLevel="0" collapsed="false">
      <c r="A22" s="47" t="s">
        <v>763</v>
      </c>
      <c r="B22" s="48" t="n">
        <f aca="false">'Carbon Accounting'!B15</f>
        <v>2.57471063798188</v>
      </c>
      <c r="C22" s="23" t="s">
        <v>160</v>
      </c>
      <c r="D22" s="24"/>
    </row>
    <row r="23" customFormat="false" ht="25.5" hidden="false" customHeight="true" outlineLevel="0" collapsed="false">
      <c r="A23" s="21" t="s">
        <v>166</v>
      </c>
      <c r="B23" s="87" t="n">
        <f aca="false">'Carbon Accounting'!B18</f>
        <v>50.4203876425986</v>
      </c>
      <c r="C23" s="23" t="s">
        <v>160</v>
      </c>
      <c r="D23" s="24"/>
    </row>
    <row r="24" customFormat="false" ht="25.5" hidden="false" customHeight="true" outlineLevel="0" collapsed="false">
      <c r="A24" s="21" t="s">
        <v>764</v>
      </c>
      <c r="B24" s="28" t="n">
        <f aca="false">'Carbon Accounting'!B20</f>
        <v>5.74432720981609</v>
      </c>
      <c r="C24" s="23" t="s">
        <v>168</v>
      </c>
      <c r="D24" s="24"/>
    </row>
    <row r="26" customFormat="false" ht="19.5" hidden="false" customHeight="true" outlineLevel="0" collapsed="false">
      <c r="A26" s="19" t="s">
        <v>765</v>
      </c>
      <c r="B26" s="20"/>
      <c r="C26" s="20"/>
      <c r="D26" s="20"/>
    </row>
    <row r="27" customFormat="false" ht="25.5" hidden="false" customHeight="true" outlineLevel="0" collapsed="false">
      <c r="A27" s="21" t="s">
        <v>732</v>
      </c>
      <c r="B27" s="87" t="n">
        <f aca="false">'Carbon Reduction Summary'!B9</f>
        <v>27.9336777735184</v>
      </c>
      <c r="C27" s="23" t="s">
        <v>160</v>
      </c>
      <c r="D27" s="24"/>
    </row>
    <row r="28" customFormat="false" ht="25.5" hidden="false" customHeight="true" outlineLevel="0" collapsed="false">
      <c r="A28" s="21" t="s">
        <v>733</v>
      </c>
      <c r="B28" s="93" t="n">
        <f aca="false">'Carbon Reduction Summary'!B10</f>
        <v>0.554015529819491</v>
      </c>
      <c r="C28" s="23" t="s">
        <v>299</v>
      </c>
      <c r="D28" s="24"/>
    </row>
    <row r="29" customFormat="false" ht="25.5" hidden="false" customHeight="true" outlineLevel="0" collapsed="false">
      <c r="A29" s="21" t="s">
        <v>766</v>
      </c>
      <c r="B29" s="87" t="n">
        <f aca="false">'Carbon Reduction Summary'!B11</f>
        <v>27.9336777735184</v>
      </c>
      <c r="C29" s="23" t="s">
        <v>172</v>
      </c>
      <c r="D29" s="24"/>
    </row>
    <row r="31" customFormat="false" ht="19.5" hidden="false" customHeight="true" outlineLevel="0" collapsed="false">
      <c r="A31" s="19" t="s">
        <v>767</v>
      </c>
      <c r="B31" s="20"/>
      <c r="C31" s="20"/>
      <c r="D31" s="20"/>
    </row>
    <row r="32" customFormat="false" ht="24" hidden="false" customHeight="true" outlineLevel="0" collapsed="false">
      <c r="A32" s="99" t="s">
        <v>768</v>
      </c>
      <c r="B32" s="99"/>
      <c r="C32" s="99"/>
      <c r="D32" s="99"/>
    </row>
    <row r="33" customFormat="false" ht="24" hidden="false" customHeight="true" outlineLevel="0" collapsed="false">
      <c r="A33" s="99" t="s">
        <v>769</v>
      </c>
      <c r="B33" s="99"/>
      <c r="C33" s="99"/>
      <c r="D33" s="99"/>
    </row>
    <row r="34" customFormat="false" ht="24" hidden="false" customHeight="true" outlineLevel="0" collapsed="false">
      <c r="A34" s="99" t="s">
        <v>770</v>
      </c>
      <c r="B34" s="99"/>
      <c r="C34" s="99"/>
      <c r="D34" s="99"/>
    </row>
    <row r="35" customFormat="false" ht="24" hidden="false" customHeight="true" outlineLevel="0" collapsed="false">
      <c r="A35" s="99" t="s">
        <v>771</v>
      </c>
      <c r="B35" s="99"/>
      <c r="C35" s="99"/>
      <c r="D35" s="99"/>
    </row>
  </sheetData>
  <mergeCells count="6">
    <mergeCell ref="A1:D1"/>
    <mergeCell ref="A2:D2"/>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421875" defaultRowHeight="15" customHeight="true" zeroHeight="false" outlineLevelRow="0" outlineLevelCol="0"/>
  <cols>
    <col collapsed="false" customWidth="true" hidden="false" outlineLevel="0" max="1" min="1" style="1" width="34.03"/>
    <col collapsed="false" customWidth="true" hidden="false" outlineLevel="0" max="2" min="2" style="1" width="20.05"/>
    <col collapsed="false" customWidth="true" hidden="false" outlineLevel="0" max="3" min="3" style="1" width="34.03"/>
    <col collapsed="false" customWidth="true" hidden="false" outlineLevel="0" max="4" min="4" style="1" width="39.97"/>
  </cols>
  <sheetData>
    <row r="1" customFormat="false" ht="19.5" hidden="false" customHeight="true" outlineLevel="0" collapsed="false">
      <c r="A1" s="7" t="s">
        <v>772</v>
      </c>
      <c r="B1" s="7"/>
      <c r="C1" s="7"/>
      <c r="D1" s="7"/>
    </row>
    <row r="2" customFormat="false" ht="15" hidden="false" customHeight="true" outlineLevel="0" collapsed="false">
      <c r="A2" s="17" t="s">
        <v>773</v>
      </c>
      <c r="B2" s="17"/>
      <c r="C2" s="17"/>
      <c r="D2" s="17"/>
    </row>
    <row r="4" customFormat="false" ht="25.5" hidden="false" customHeight="true" outlineLevel="0" collapsed="false">
      <c r="A4" s="8" t="s">
        <v>774</v>
      </c>
      <c r="B4" s="8" t="s">
        <v>775</v>
      </c>
      <c r="C4" s="8" t="s">
        <v>776</v>
      </c>
      <c r="D4" s="8" t="s">
        <v>777</v>
      </c>
    </row>
    <row r="5" customFormat="false" ht="63.75" hidden="false" customHeight="true" outlineLevel="0" collapsed="false">
      <c r="A5" s="21" t="s">
        <v>778</v>
      </c>
      <c r="B5" s="47" t="s">
        <v>779</v>
      </c>
      <c r="C5" s="100" t="s">
        <v>780</v>
      </c>
      <c r="D5" s="11" t="s">
        <v>781</v>
      </c>
    </row>
    <row r="6" customFormat="false" ht="63.75" hidden="false" customHeight="true" outlineLevel="0" collapsed="false">
      <c r="A6" s="21" t="s">
        <v>782</v>
      </c>
      <c r="B6" s="47" t="s">
        <v>783</v>
      </c>
      <c r="C6" s="100" t="s">
        <v>780</v>
      </c>
      <c r="D6" s="11" t="s">
        <v>784</v>
      </c>
    </row>
    <row r="7" customFormat="false" ht="63.75" hidden="false" customHeight="true" outlineLevel="0" collapsed="false">
      <c r="A7" s="21" t="s">
        <v>785</v>
      </c>
      <c r="B7" s="47" t="s">
        <v>786</v>
      </c>
      <c r="C7" s="100" t="s">
        <v>787</v>
      </c>
      <c r="D7" s="11" t="s">
        <v>788</v>
      </c>
    </row>
    <row r="8" customFormat="false" ht="63.75" hidden="false" customHeight="true" outlineLevel="0" collapsed="false">
      <c r="A8" s="21" t="s">
        <v>789</v>
      </c>
      <c r="B8" s="47" t="s">
        <v>790</v>
      </c>
      <c r="C8" s="100" t="s">
        <v>791</v>
      </c>
      <c r="D8" s="11" t="s">
        <v>792</v>
      </c>
    </row>
    <row r="9" customFormat="false" ht="63.75" hidden="false" customHeight="true" outlineLevel="0" collapsed="false">
      <c r="A9" s="21" t="s">
        <v>793</v>
      </c>
      <c r="B9" s="47" t="s">
        <v>794</v>
      </c>
      <c r="C9" s="100" t="s">
        <v>795</v>
      </c>
      <c r="D9" s="11" t="s">
        <v>796</v>
      </c>
    </row>
    <row r="10" customFormat="false" ht="63.75" hidden="false" customHeight="true" outlineLevel="0" collapsed="false">
      <c r="A10" s="21" t="s">
        <v>797</v>
      </c>
      <c r="B10" s="47" t="s">
        <v>786</v>
      </c>
      <c r="C10" s="100" t="s">
        <v>798</v>
      </c>
      <c r="D10" s="11" t="s">
        <v>799</v>
      </c>
    </row>
    <row r="11" customFormat="false" ht="63.75" hidden="false" customHeight="true" outlineLevel="0" collapsed="false">
      <c r="A11" s="21" t="s">
        <v>800</v>
      </c>
      <c r="B11" s="47" t="s">
        <v>801</v>
      </c>
      <c r="C11" s="100" t="s">
        <v>802</v>
      </c>
      <c r="D11" s="11" t="s">
        <v>803</v>
      </c>
    </row>
    <row r="12" customFormat="false" ht="63.75" hidden="false" customHeight="true" outlineLevel="0" collapsed="false">
      <c r="A12" s="21" t="s">
        <v>804</v>
      </c>
      <c r="B12" s="47" t="s">
        <v>805</v>
      </c>
      <c r="C12" s="100" t="s">
        <v>806</v>
      </c>
      <c r="D12" s="11" t="s">
        <v>807</v>
      </c>
    </row>
    <row r="13" customFormat="false" ht="63.75" hidden="false" customHeight="true" outlineLevel="0" collapsed="false">
      <c r="A13" s="21" t="s">
        <v>808</v>
      </c>
      <c r="B13" s="47" t="s">
        <v>809</v>
      </c>
      <c r="C13" s="100" t="s">
        <v>810</v>
      </c>
      <c r="D13" s="11" t="s">
        <v>811</v>
      </c>
    </row>
    <row r="14" customFormat="false" ht="63.75" hidden="false" customHeight="true" outlineLevel="0" collapsed="false">
      <c r="A14" s="21" t="s">
        <v>812</v>
      </c>
      <c r="B14" s="47" t="s">
        <v>813</v>
      </c>
      <c r="C14" s="100" t="s">
        <v>814</v>
      </c>
      <c r="D14" s="11" t="s">
        <v>815</v>
      </c>
    </row>
    <row r="15" customFormat="false" ht="63.75" hidden="false" customHeight="true" outlineLevel="0" collapsed="false">
      <c r="A15" s="21" t="s">
        <v>816</v>
      </c>
      <c r="B15" s="47" t="s">
        <v>817</v>
      </c>
      <c r="C15" s="100" t="s">
        <v>818</v>
      </c>
      <c r="D15" s="11" t="s">
        <v>819</v>
      </c>
    </row>
    <row r="16" customFormat="false" ht="63.75" hidden="false" customHeight="true" outlineLevel="0" collapsed="false">
      <c r="A16" s="21" t="s">
        <v>820</v>
      </c>
      <c r="B16" s="47" t="s">
        <v>821</v>
      </c>
      <c r="C16" s="100" t="s">
        <v>822</v>
      </c>
      <c r="D16" s="11" t="s">
        <v>823</v>
      </c>
    </row>
    <row r="17" customFormat="false" ht="63.75" hidden="false" customHeight="true" outlineLevel="0" collapsed="false">
      <c r="A17" s="21" t="s">
        <v>824</v>
      </c>
      <c r="B17" s="47" t="s">
        <v>825</v>
      </c>
      <c r="C17" s="100" t="s">
        <v>826</v>
      </c>
      <c r="D17" s="11" t="s">
        <v>827</v>
      </c>
    </row>
    <row r="18" customFormat="false" ht="63.75" hidden="false" customHeight="true" outlineLevel="0" collapsed="false">
      <c r="A18" s="21" t="s">
        <v>828</v>
      </c>
      <c r="B18" s="47" t="s">
        <v>829</v>
      </c>
      <c r="C18" s="100" t="s">
        <v>830</v>
      </c>
      <c r="D18" s="11" t="s">
        <v>831</v>
      </c>
    </row>
    <row r="19" customFormat="false" ht="63.75" hidden="false" customHeight="true" outlineLevel="0" collapsed="false">
      <c r="A19" s="21" t="s">
        <v>832</v>
      </c>
      <c r="B19" s="47" t="s">
        <v>833</v>
      </c>
      <c r="C19" s="100" t="s">
        <v>834</v>
      </c>
      <c r="D19" s="11" t="s">
        <v>835</v>
      </c>
    </row>
    <row r="20" customFormat="false" ht="69.75" hidden="false" customHeight="true" outlineLevel="0" collapsed="false">
      <c r="A20" s="101" t="s">
        <v>836</v>
      </c>
      <c r="B20" s="102" t="s">
        <v>837</v>
      </c>
      <c r="C20" s="100" t="s">
        <v>838</v>
      </c>
      <c r="D20" s="11" t="s">
        <v>839</v>
      </c>
    </row>
    <row r="21" customFormat="false" ht="69.75" hidden="false" customHeight="true" outlineLevel="0" collapsed="false">
      <c r="A21" s="101" t="s">
        <v>840</v>
      </c>
      <c r="B21" s="102" t="s">
        <v>841</v>
      </c>
      <c r="C21" s="100" t="s">
        <v>842</v>
      </c>
      <c r="D21" s="11" t="s">
        <v>843</v>
      </c>
    </row>
    <row r="22" customFormat="false" ht="69.75" hidden="false" customHeight="true" outlineLevel="0" collapsed="false">
      <c r="A22" s="101" t="s">
        <v>844</v>
      </c>
      <c r="B22" s="102" t="s">
        <v>845</v>
      </c>
      <c r="C22" s="100" t="s">
        <v>846</v>
      </c>
      <c r="D22" s="11" t="s">
        <v>847</v>
      </c>
    </row>
    <row r="23" customFormat="false" ht="15" hidden="false" customHeight="true" outlineLevel="0" collapsed="false">
      <c r="A23" s="1" t="s">
        <v>848</v>
      </c>
      <c r="B23" s="1" t="s">
        <v>849</v>
      </c>
      <c r="C23" s="1" t="s">
        <v>850</v>
      </c>
      <c r="D23" s="1" t="s">
        <v>851</v>
      </c>
    </row>
    <row r="24" customFormat="false" ht="15" hidden="false" customHeight="true" outlineLevel="0" collapsed="false">
      <c r="A24" s="1" t="s">
        <v>852</v>
      </c>
      <c r="B24" s="1" t="s">
        <v>853</v>
      </c>
      <c r="C24" s="1" t="s">
        <v>854</v>
      </c>
      <c r="D24" s="1" t="s">
        <v>855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5C"/>
    <pageSetUpPr fitToPage="false"/>
  </sheetPr>
  <dimension ref="A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9"/>
    <col collapsed="false" customWidth="true" hidden="false" outlineLevel="0" max="3" min="3" style="1" width="16"/>
    <col collapsed="false" customWidth="true" hidden="false" outlineLevel="0" max="5" min="4" style="1" width="12"/>
    <col collapsed="false" customWidth="true" hidden="false" outlineLevel="0" max="6" min="6" style="1" width="17"/>
    <col collapsed="false" customWidth="true" hidden="false" outlineLevel="0" max="7" min="7" style="1" width="14"/>
    <col collapsed="false" customWidth="true" hidden="false" outlineLevel="0" max="8" min="8" style="1" width="17"/>
    <col collapsed="false" customWidth="true" hidden="false" outlineLevel="0" max="10" min="9" style="1" width="19"/>
    <col collapsed="false" customWidth="true" hidden="false" outlineLevel="0" max="11" min="11" style="1" width="18"/>
    <col collapsed="false" customWidth="true" hidden="false" outlineLevel="0" max="12" min="12" style="1" width="32"/>
  </cols>
  <sheetData>
    <row r="1" customFormat="false" ht="15" hidden="false" customHeight="true" outlineLevel="0" collapsed="false">
      <c r="A1" s="1" t="s">
        <v>856</v>
      </c>
    </row>
    <row r="2" customFormat="false" ht="15" hidden="false" customHeight="true" outlineLevel="0" collapsed="false">
      <c r="A2" s="1" t="s">
        <v>857</v>
      </c>
    </row>
    <row r="5" customFormat="false" ht="27.75" hidden="false" customHeight="true" outlineLevel="0" collapsed="false">
      <c r="A5" s="40" t="s">
        <v>858</v>
      </c>
      <c r="B5" s="40" t="s">
        <v>498</v>
      </c>
      <c r="C5" s="40" t="s">
        <v>859</v>
      </c>
      <c r="D5" s="40" t="s">
        <v>860</v>
      </c>
      <c r="E5" s="40" t="s">
        <v>861</v>
      </c>
      <c r="F5" s="40" t="s">
        <v>862</v>
      </c>
      <c r="G5" s="40" t="s">
        <v>863</v>
      </c>
      <c r="H5" s="40" t="s">
        <v>864</v>
      </c>
      <c r="I5" s="40" t="s">
        <v>865</v>
      </c>
      <c r="J5" s="40" t="s">
        <v>866</v>
      </c>
      <c r="K5" s="40" t="s">
        <v>867</v>
      </c>
      <c r="L5" s="40" t="s">
        <v>868</v>
      </c>
    </row>
    <row r="6" customFormat="false" ht="15" hidden="false" customHeight="true" outlineLevel="0" collapsed="false">
      <c r="A6" s="42"/>
      <c r="B6" s="34"/>
      <c r="C6" s="34"/>
      <c r="D6" s="34"/>
      <c r="E6" s="34"/>
      <c r="F6" s="34"/>
      <c r="G6" s="103"/>
      <c r="H6" s="103"/>
      <c r="I6" s="103"/>
      <c r="J6" s="104"/>
      <c r="K6" s="34"/>
      <c r="L6" s="34"/>
    </row>
    <row r="7" customFormat="false" ht="15" hidden="false" customHeight="true" outlineLevel="0" collapsed="false">
      <c r="A7" s="42"/>
      <c r="B7" s="34"/>
      <c r="C7" s="34"/>
      <c r="D7" s="34"/>
      <c r="E7" s="34"/>
      <c r="F7" s="34"/>
      <c r="G7" s="103"/>
      <c r="H7" s="103"/>
      <c r="I7" s="103"/>
      <c r="J7" s="104"/>
      <c r="K7" s="34"/>
      <c r="L7" s="34"/>
    </row>
    <row r="8" customFormat="false" ht="15" hidden="false" customHeight="true" outlineLevel="0" collapsed="false">
      <c r="A8" s="42"/>
      <c r="B8" s="34"/>
      <c r="C8" s="34"/>
      <c r="D8" s="34"/>
      <c r="E8" s="34"/>
      <c r="F8" s="34"/>
      <c r="G8" s="103"/>
      <c r="H8" s="103"/>
      <c r="I8" s="103"/>
      <c r="J8" s="104"/>
      <c r="K8" s="34"/>
      <c r="L8" s="34"/>
    </row>
    <row r="9" customFormat="false" ht="15" hidden="false" customHeight="true" outlineLevel="0" collapsed="false">
      <c r="A9" s="42"/>
      <c r="B9" s="34"/>
      <c r="C9" s="34"/>
      <c r="D9" s="34"/>
      <c r="E9" s="34"/>
      <c r="F9" s="34"/>
      <c r="G9" s="103"/>
      <c r="H9" s="103"/>
      <c r="I9" s="103"/>
      <c r="J9" s="104"/>
      <c r="K9" s="34"/>
      <c r="L9" s="34"/>
    </row>
    <row r="10" customFormat="false" ht="15" hidden="false" customHeight="true" outlineLevel="0" collapsed="false">
      <c r="A10" s="42"/>
      <c r="B10" s="34"/>
      <c r="C10" s="34"/>
      <c r="D10" s="34"/>
      <c r="E10" s="34"/>
      <c r="F10" s="34"/>
      <c r="G10" s="103"/>
      <c r="H10" s="103"/>
      <c r="I10" s="103"/>
      <c r="J10" s="104"/>
      <c r="K10" s="34"/>
      <c r="L10" s="34"/>
    </row>
    <row r="11" customFormat="false" ht="15" hidden="false" customHeight="true" outlineLevel="0" collapsed="false">
      <c r="A11" s="42"/>
      <c r="B11" s="34"/>
      <c r="C11" s="34"/>
      <c r="D11" s="34"/>
      <c r="E11" s="34"/>
      <c r="F11" s="34"/>
      <c r="G11" s="103"/>
      <c r="H11" s="103"/>
      <c r="I11" s="103"/>
      <c r="J11" s="104"/>
      <c r="K11" s="34"/>
      <c r="L11" s="34"/>
    </row>
    <row r="12" customFormat="false" ht="15" hidden="false" customHeight="true" outlineLevel="0" collapsed="false">
      <c r="A12" s="42"/>
      <c r="B12" s="34"/>
      <c r="C12" s="34"/>
      <c r="D12" s="34"/>
      <c r="E12" s="34"/>
      <c r="F12" s="34"/>
      <c r="G12" s="103"/>
      <c r="H12" s="103"/>
      <c r="I12" s="103"/>
      <c r="J12" s="104"/>
      <c r="K12" s="34"/>
      <c r="L12" s="34"/>
    </row>
    <row r="13" customFormat="false" ht="15" hidden="false" customHeight="true" outlineLevel="0" collapsed="false">
      <c r="A13" s="42"/>
      <c r="B13" s="34"/>
      <c r="C13" s="34"/>
      <c r="D13" s="34"/>
      <c r="E13" s="34"/>
      <c r="F13" s="34"/>
      <c r="G13" s="103"/>
      <c r="H13" s="103"/>
      <c r="I13" s="103"/>
      <c r="J13" s="104"/>
      <c r="K13" s="34"/>
      <c r="L13" s="34"/>
    </row>
    <row r="14" customFormat="false" ht="15" hidden="false" customHeight="true" outlineLevel="0" collapsed="false">
      <c r="A14" s="42"/>
      <c r="B14" s="34"/>
      <c r="C14" s="34"/>
      <c r="D14" s="34"/>
      <c r="E14" s="34"/>
      <c r="F14" s="34"/>
      <c r="G14" s="103"/>
      <c r="H14" s="103"/>
      <c r="I14" s="103"/>
      <c r="J14" s="104"/>
      <c r="K14" s="34"/>
      <c r="L14" s="34"/>
    </row>
    <row r="15" customFormat="false" ht="15" hidden="false" customHeight="true" outlineLevel="0" collapsed="false">
      <c r="A15" s="42"/>
      <c r="B15" s="34"/>
      <c r="C15" s="34"/>
      <c r="D15" s="34"/>
      <c r="E15" s="34"/>
      <c r="F15" s="34"/>
      <c r="G15" s="103"/>
      <c r="H15" s="103"/>
      <c r="I15" s="103"/>
      <c r="J15" s="104"/>
      <c r="K15" s="34"/>
      <c r="L15" s="34"/>
    </row>
    <row r="16" customFormat="false" ht="15" hidden="false" customHeight="true" outlineLevel="0" collapsed="false">
      <c r="A16" s="42"/>
      <c r="B16" s="34"/>
      <c r="C16" s="34"/>
      <c r="D16" s="34"/>
      <c r="E16" s="34"/>
      <c r="F16" s="34"/>
      <c r="G16" s="103"/>
      <c r="H16" s="103"/>
      <c r="I16" s="103"/>
      <c r="J16" s="104"/>
      <c r="K16" s="34"/>
      <c r="L16" s="34"/>
    </row>
    <row r="17" customFormat="false" ht="15" hidden="false" customHeight="true" outlineLevel="0" collapsed="false">
      <c r="A17" s="42"/>
      <c r="B17" s="34"/>
      <c r="C17" s="34"/>
      <c r="D17" s="34"/>
      <c r="E17" s="34"/>
      <c r="F17" s="34"/>
      <c r="G17" s="103"/>
      <c r="H17" s="103"/>
      <c r="I17" s="103"/>
      <c r="J17" s="104"/>
      <c r="K17" s="34"/>
      <c r="L17" s="34"/>
    </row>
    <row r="18" customFormat="false" ht="15" hidden="false" customHeight="true" outlineLevel="0" collapsed="false">
      <c r="A18" s="42"/>
      <c r="B18" s="34"/>
      <c r="C18" s="34"/>
      <c r="D18" s="34"/>
      <c r="E18" s="34"/>
      <c r="F18" s="34"/>
      <c r="G18" s="103"/>
      <c r="H18" s="103"/>
      <c r="I18" s="103"/>
      <c r="J18" s="104"/>
      <c r="K18" s="34"/>
      <c r="L18" s="34"/>
    </row>
    <row r="19" customFormat="false" ht="15" hidden="false" customHeight="true" outlineLevel="0" collapsed="false">
      <c r="A19" s="42"/>
      <c r="B19" s="34"/>
      <c r="C19" s="34"/>
      <c r="D19" s="34"/>
      <c r="E19" s="34"/>
      <c r="F19" s="34"/>
      <c r="G19" s="103"/>
      <c r="H19" s="103"/>
      <c r="I19" s="103"/>
      <c r="J19" s="104"/>
      <c r="K19" s="34"/>
      <c r="L19" s="34"/>
    </row>
    <row r="20" customFormat="false" ht="15" hidden="false" customHeight="true" outlineLevel="0" collapsed="false">
      <c r="A20" s="42"/>
      <c r="B20" s="34"/>
      <c r="C20" s="34"/>
      <c r="D20" s="34"/>
      <c r="E20" s="34"/>
      <c r="F20" s="34"/>
      <c r="G20" s="103"/>
      <c r="H20" s="103"/>
      <c r="I20" s="103"/>
      <c r="J20" s="104"/>
      <c r="K20" s="34"/>
      <c r="L20" s="34"/>
    </row>
    <row r="21" customFormat="false" ht="15" hidden="false" customHeight="true" outlineLevel="0" collapsed="false">
      <c r="A21" s="42"/>
      <c r="B21" s="34"/>
      <c r="C21" s="34"/>
      <c r="D21" s="34"/>
      <c r="E21" s="34"/>
      <c r="F21" s="34"/>
      <c r="G21" s="103"/>
      <c r="H21" s="103"/>
      <c r="I21" s="103"/>
      <c r="J21" s="104"/>
      <c r="K21" s="34"/>
      <c r="L21" s="34"/>
    </row>
    <row r="22" customFormat="false" ht="15" hidden="false" customHeight="true" outlineLevel="0" collapsed="false">
      <c r="A22" s="42"/>
      <c r="B22" s="34"/>
      <c r="C22" s="34"/>
      <c r="D22" s="34"/>
      <c r="E22" s="34"/>
      <c r="F22" s="34"/>
      <c r="G22" s="103"/>
      <c r="H22" s="103"/>
      <c r="I22" s="103"/>
      <c r="J22" s="104"/>
      <c r="K22" s="34"/>
      <c r="L22" s="34"/>
    </row>
    <row r="23" customFormat="false" ht="15" hidden="false" customHeight="true" outlineLevel="0" collapsed="false">
      <c r="A23" s="42"/>
      <c r="B23" s="34"/>
      <c r="C23" s="34"/>
      <c r="D23" s="34"/>
      <c r="E23" s="34"/>
      <c r="F23" s="34"/>
      <c r="G23" s="103"/>
      <c r="H23" s="103"/>
      <c r="I23" s="103"/>
      <c r="J23" s="104"/>
      <c r="K23" s="34"/>
      <c r="L23" s="34"/>
    </row>
    <row r="24" customFormat="false" ht="15" hidden="false" customHeight="true" outlineLevel="0" collapsed="false">
      <c r="A24" s="42"/>
      <c r="B24" s="34"/>
      <c r="C24" s="34"/>
      <c r="D24" s="34"/>
      <c r="E24" s="34"/>
      <c r="F24" s="34"/>
      <c r="G24" s="103"/>
      <c r="H24" s="103"/>
      <c r="I24" s="103"/>
      <c r="J24" s="104"/>
      <c r="K24" s="34"/>
      <c r="L24" s="34"/>
    </row>
    <row r="25" customFormat="false" ht="15" hidden="false" customHeight="true" outlineLevel="0" collapsed="false">
      <c r="A25" s="42"/>
      <c r="B25" s="34"/>
      <c r="C25" s="34"/>
      <c r="D25" s="34"/>
      <c r="E25" s="34"/>
      <c r="F25" s="34"/>
      <c r="G25" s="103"/>
      <c r="H25" s="103"/>
      <c r="I25" s="103"/>
      <c r="J25" s="104"/>
      <c r="K25" s="34"/>
      <c r="L25" s="34"/>
    </row>
    <row r="26" customFormat="false" ht="15" hidden="false" customHeight="true" outlineLevel="0" collapsed="false">
      <c r="A26" s="42"/>
      <c r="B26" s="34"/>
      <c r="C26" s="34"/>
      <c r="D26" s="34"/>
      <c r="E26" s="34"/>
      <c r="F26" s="34"/>
      <c r="G26" s="103"/>
      <c r="H26" s="103"/>
      <c r="I26" s="103"/>
      <c r="J26" s="104"/>
      <c r="K26" s="34"/>
      <c r="L26" s="34"/>
    </row>
    <row r="27" customFormat="false" ht="15" hidden="false" customHeight="true" outlineLevel="0" collapsed="false">
      <c r="A27" s="42"/>
      <c r="B27" s="34"/>
      <c r="C27" s="34"/>
      <c r="D27" s="34"/>
      <c r="E27" s="34"/>
      <c r="F27" s="34"/>
      <c r="G27" s="103"/>
      <c r="H27" s="103"/>
      <c r="I27" s="103"/>
      <c r="J27" s="104"/>
      <c r="K27" s="34"/>
      <c r="L27" s="34"/>
    </row>
    <row r="28" customFormat="false" ht="15" hidden="false" customHeight="true" outlineLevel="0" collapsed="false">
      <c r="A28" s="42"/>
      <c r="B28" s="34"/>
      <c r="C28" s="34"/>
      <c r="D28" s="34"/>
      <c r="E28" s="34"/>
      <c r="F28" s="34"/>
      <c r="G28" s="103"/>
      <c r="H28" s="103"/>
      <c r="I28" s="103"/>
      <c r="J28" s="104"/>
      <c r="K28" s="34"/>
      <c r="L28" s="34"/>
    </row>
    <row r="29" customFormat="false" ht="15" hidden="false" customHeight="true" outlineLevel="0" collapsed="false">
      <c r="A29" s="42"/>
      <c r="B29" s="34"/>
      <c r="C29" s="34"/>
      <c r="D29" s="34"/>
      <c r="E29" s="34"/>
      <c r="F29" s="34"/>
      <c r="G29" s="103"/>
      <c r="H29" s="103"/>
      <c r="I29" s="103"/>
      <c r="J29" s="104"/>
      <c r="K29" s="34"/>
      <c r="L29" s="34"/>
    </row>
    <row r="30" customFormat="false" ht="15" hidden="false" customHeight="true" outlineLevel="0" collapsed="false">
      <c r="A30" s="42"/>
      <c r="B30" s="34"/>
      <c r="C30" s="34"/>
      <c r="D30" s="34"/>
      <c r="E30" s="34"/>
      <c r="F30" s="34"/>
      <c r="G30" s="103"/>
      <c r="H30" s="103"/>
      <c r="I30" s="103"/>
      <c r="J30" s="104"/>
      <c r="K30" s="34"/>
      <c r="L30" s="34"/>
    </row>
    <row r="31" customFormat="false" ht="15" hidden="false" customHeight="true" outlineLevel="0" collapsed="false">
      <c r="A31" s="42"/>
      <c r="B31" s="34"/>
      <c r="C31" s="34"/>
      <c r="D31" s="34"/>
      <c r="E31" s="34"/>
      <c r="F31" s="34"/>
      <c r="G31" s="103"/>
      <c r="H31" s="103"/>
      <c r="I31" s="103"/>
      <c r="J31" s="104"/>
      <c r="K31" s="34"/>
      <c r="L31" s="34"/>
    </row>
    <row r="32" customFormat="false" ht="15" hidden="false" customHeight="true" outlineLevel="0" collapsed="false">
      <c r="A32" s="42"/>
      <c r="B32" s="34"/>
      <c r="C32" s="34"/>
      <c r="D32" s="34"/>
      <c r="E32" s="34"/>
      <c r="F32" s="34"/>
      <c r="G32" s="103"/>
      <c r="H32" s="103"/>
      <c r="I32" s="103"/>
      <c r="J32" s="104"/>
      <c r="K32" s="34"/>
      <c r="L32" s="34"/>
    </row>
    <row r="33" customFormat="false" ht="15" hidden="false" customHeight="true" outlineLevel="0" collapsed="false">
      <c r="A33" s="42"/>
      <c r="B33" s="34"/>
      <c r="C33" s="34"/>
      <c r="D33" s="34"/>
      <c r="E33" s="34"/>
      <c r="F33" s="34"/>
      <c r="G33" s="103"/>
      <c r="H33" s="103"/>
      <c r="I33" s="103"/>
      <c r="J33" s="104"/>
      <c r="K33" s="34"/>
      <c r="L33" s="34"/>
    </row>
    <row r="34" customFormat="false" ht="15" hidden="false" customHeight="true" outlineLevel="0" collapsed="false">
      <c r="A34" s="42"/>
      <c r="B34" s="34"/>
      <c r="C34" s="34"/>
      <c r="D34" s="34"/>
      <c r="E34" s="34"/>
      <c r="F34" s="34"/>
      <c r="G34" s="103"/>
      <c r="H34" s="103"/>
      <c r="I34" s="103"/>
      <c r="J34" s="104"/>
      <c r="K34" s="34"/>
      <c r="L34" s="34"/>
    </row>
    <row r="35" customFormat="false" ht="15" hidden="false" customHeight="true" outlineLevel="0" collapsed="false">
      <c r="A35" s="42"/>
      <c r="B35" s="34"/>
      <c r="C35" s="34"/>
      <c r="D35" s="34"/>
      <c r="E35" s="34"/>
      <c r="F35" s="34"/>
      <c r="G35" s="103"/>
      <c r="H35" s="103"/>
      <c r="I35" s="103"/>
      <c r="J35" s="104"/>
      <c r="K35" s="34"/>
      <c r="L35" s="34"/>
    </row>
    <row r="36" customFormat="false" ht="15" hidden="false" customHeight="true" outlineLevel="0" collapsed="false">
      <c r="A36" s="42"/>
      <c r="B36" s="34"/>
      <c r="C36" s="34"/>
      <c r="D36" s="34"/>
      <c r="E36" s="34"/>
      <c r="F36" s="34"/>
      <c r="G36" s="103"/>
      <c r="H36" s="103"/>
      <c r="I36" s="103"/>
      <c r="J36" s="104"/>
      <c r="K36" s="34"/>
      <c r="L36" s="34"/>
    </row>
    <row r="37" customFormat="false" ht="15" hidden="false" customHeight="true" outlineLevel="0" collapsed="false">
      <c r="A37" s="42"/>
      <c r="B37" s="34"/>
      <c r="C37" s="34"/>
      <c r="D37" s="34"/>
      <c r="E37" s="34"/>
      <c r="F37" s="34"/>
      <c r="G37" s="103"/>
      <c r="H37" s="103"/>
      <c r="I37" s="103"/>
      <c r="J37" s="104"/>
      <c r="K37" s="34"/>
      <c r="L37" s="34"/>
    </row>
    <row r="38" customFormat="false" ht="15" hidden="false" customHeight="true" outlineLevel="0" collapsed="false">
      <c r="A38" s="42"/>
      <c r="B38" s="34"/>
      <c r="C38" s="34"/>
      <c r="D38" s="34"/>
      <c r="E38" s="34"/>
      <c r="F38" s="34"/>
      <c r="G38" s="103"/>
      <c r="H38" s="103"/>
      <c r="I38" s="103"/>
      <c r="J38" s="104"/>
      <c r="K38" s="34"/>
      <c r="L38" s="34"/>
    </row>
    <row r="39" customFormat="false" ht="15" hidden="false" customHeight="true" outlineLevel="0" collapsed="false">
      <c r="A39" s="42"/>
      <c r="B39" s="34"/>
      <c r="C39" s="34"/>
      <c r="D39" s="34"/>
      <c r="E39" s="34"/>
      <c r="F39" s="34"/>
      <c r="G39" s="103"/>
      <c r="H39" s="103"/>
      <c r="I39" s="103"/>
      <c r="J39" s="104"/>
      <c r="K39" s="34"/>
      <c r="L39" s="34"/>
    </row>
    <row r="40" customFormat="false" ht="15" hidden="false" customHeight="true" outlineLevel="0" collapsed="false">
      <c r="A40" s="42"/>
      <c r="B40" s="34"/>
      <c r="C40" s="34"/>
      <c r="D40" s="34"/>
      <c r="E40" s="34"/>
      <c r="F40" s="34"/>
      <c r="G40" s="103"/>
      <c r="H40" s="103"/>
      <c r="I40" s="103"/>
      <c r="J40" s="104"/>
      <c r="K40" s="34"/>
      <c r="L40" s="34"/>
    </row>
    <row r="41" customFormat="false" ht="15" hidden="false" customHeight="true" outlineLevel="0" collapsed="false">
      <c r="A41" s="42"/>
      <c r="B41" s="34"/>
      <c r="C41" s="34"/>
      <c r="D41" s="34"/>
      <c r="E41" s="34"/>
      <c r="F41" s="34"/>
      <c r="G41" s="103"/>
      <c r="H41" s="103"/>
      <c r="I41" s="103"/>
      <c r="J41" s="104"/>
      <c r="K41" s="34"/>
      <c r="L41" s="34"/>
    </row>
    <row r="42" customFormat="false" ht="15" hidden="false" customHeight="true" outlineLevel="0" collapsed="false">
      <c r="A42" s="42"/>
      <c r="B42" s="34"/>
      <c r="C42" s="34"/>
      <c r="D42" s="34"/>
      <c r="E42" s="34"/>
      <c r="F42" s="34"/>
      <c r="G42" s="103"/>
      <c r="H42" s="103"/>
      <c r="I42" s="103"/>
      <c r="J42" s="104"/>
      <c r="K42" s="34"/>
      <c r="L42" s="34"/>
    </row>
    <row r="43" customFormat="false" ht="15" hidden="false" customHeight="true" outlineLevel="0" collapsed="false">
      <c r="A43" s="42"/>
      <c r="B43" s="34"/>
      <c r="C43" s="34"/>
      <c r="D43" s="34"/>
      <c r="E43" s="34"/>
      <c r="F43" s="34"/>
      <c r="G43" s="103"/>
      <c r="H43" s="103"/>
      <c r="I43" s="103"/>
      <c r="J43" s="104"/>
      <c r="K43" s="34"/>
      <c r="L43" s="34"/>
    </row>
    <row r="44" customFormat="false" ht="15" hidden="false" customHeight="true" outlineLevel="0" collapsed="false">
      <c r="A44" s="42"/>
      <c r="B44" s="34"/>
      <c r="C44" s="34"/>
      <c r="D44" s="34"/>
      <c r="E44" s="34"/>
      <c r="F44" s="34"/>
      <c r="G44" s="103"/>
      <c r="H44" s="103"/>
      <c r="I44" s="103"/>
      <c r="J44" s="104"/>
      <c r="K44" s="34"/>
      <c r="L44" s="34"/>
    </row>
    <row r="45" customFormat="false" ht="15" hidden="false" customHeight="true" outlineLevel="0" collapsed="false">
      <c r="A45" s="42"/>
      <c r="B45" s="34"/>
      <c r="C45" s="34"/>
      <c r="D45" s="34"/>
      <c r="E45" s="34"/>
      <c r="F45" s="34"/>
      <c r="G45" s="103"/>
      <c r="H45" s="103"/>
      <c r="I45" s="103"/>
      <c r="J45" s="104"/>
      <c r="K45" s="34"/>
      <c r="L45" s="34"/>
    </row>
    <row r="46" customFormat="false" ht="15" hidden="false" customHeight="true" outlineLevel="0" collapsed="false">
      <c r="A46" s="42"/>
      <c r="B46" s="34"/>
      <c r="C46" s="34"/>
      <c r="D46" s="34"/>
      <c r="E46" s="34"/>
      <c r="F46" s="34"/>
      <c r="G46" s="103"/>
      <c r="H46" s="103"/>
      <c r="I46" s="103"/>
      <c r="J46" s="104"/>
      <c r="K46" s="34"/>
      <c r="L46" s="34"/>
    </row>
    <row r="47" customFormat="false" ht="15" hidden="false" customHeight="true" outlineLevel="0" collapsed="false">
      <c r="A47" s="42"/>
      <c r="B47" s="34"/>
      <c r="C47" s="34"/>
      <c r="D47" s="34"/>
      <c r="E47" s="34"/>
      <c r="F47" s="34"/>
      <c r="G47" s="103"/>
      <c r="H47" s="103"/>
      <c r="I47" s="103"/>
      <c r="J47" s="104"/>
      <c r="K47" s="34"/>
      <c r="L47" s="34"/>
    </row>
    <row r="48" customFormat="false" ht="15" hidden="false" customHeight="true" outlineLevel="0" collapsed="false">
      <c r="A48" s="42"/>
      <c r="B48" s="34"/>
      <c r="C48" s="34"/>
      <c r="D48" s="34"/>
      <c r="E48" s="34"/>
      <c r="F48" s="34"/>
      <c r="G48" s="103"/>
      <c r="H48" s="103"/>
      <c r="I48" s="103"/>
      <c r="J48" s="104"/>
      <c r="K48" s="34"/>
      <c r="L48" s="34"/>
    </row>
    <row r="49" customFormat="false" ht="15" hidden="false" customHeight="true" outlineLevel="0" collapsed="false">
      <c r="A49" s="42"/>
      <c r="B49" s="34"/>
      <c r="C49" s="34"/>
      <c r="D49" s="34"/>
      <c r="E49" s="34"/>
      <c r="F49" s="34"/>
      <c r="G49" s="103"/>
      <c r="H49" s="103"/>
      <c r="I49" s="103"/>
      <c r="J49" s="104"/>
      <c r="K49" s="34"/>
      <c r="L49" s="34"/>
    </row>
    <row r="50" customFormat="false" ht="15" hidden="false" customHeight="true" outlineLevel="0" collapsed="false">
      <c r="A50" s="42"/>
      <c r="B50" s="34"/>
      <c r="C50" s="34"/>
      <c r="D50" s="34"/>
      <c r="E50" s="34"/>
      <c r="F50" s="34"/>
      <c r="G50" s="103"/>
      <c r="H50" s="103"/>
      <c r="I50" s="103"/>
      <c r="J50" s="104"/>
      <c r="K50" s="34"/>
      <c r="L50" s="34"/>
    </row>
    <row r="51" customFormat="false" ht="15" hidden="false" customHeight="true" outlineLevel="0" collapsed="false">
      <c r="A51" s="42"/>
      <c r="B51" s="34"/>
      <c r="C51" s="34"/>
      <c r="D51" s="34"/>
      <c r="E51" s="34"/>
      <c r="F51" s="34"/>
      <c r="G51" s="103"/>
      <c r="H51" s="103"/>
      <c r="I51" s="103"/>
      <c r="J51" s="104"/>
      <c r="K51" s="34"/>
      <c r="L51" s="34"/>
    </row>
    <row r="52" customFormat="false" ht="15" hidden="false" customHeight="true" outlineLevel="0" collapsed="false">
      <c r="A52" s="42"/>
      <c r="B52" s="34"/>
      <c r="C52" s="34"/>
      <c r="D52" s="34"/>
      <c r="E52" s="34"/>
      <c r="F52" s="34"/>
      <c r="G52" s="103"/>
      <c r="H52" s="103"/>
      <c r="I52" s="103"/>
      <c r="J52" s="104"/>
      <c r="K52" s="34"/>
      <c r="L52" s="34"/>
    </row>
    <row r="53" customFormat="false" ht="15" hidden="false" customHeight="true" outlineLevel="0" collapsed="false">
      <c r="A53" s="42"/>
      <c r="B53" s="34"/>
      <c r="C53" s="34"/>
      <c r="D53" s="34"/>
      <c r="E53" s="34"/>
      <c r="F53" s="34"/>
      <c r="G53" s="103"/>
      <c r="H53" s="103"/>
      <c r="I53" s="103"/>
      <c r="J53" s="104"/>
      <c r="K53" s="34"/>
      <c r="L53" s="34"/>
    </row>
    <row r="54" customFormat="false" ht="15" hidden="false" customHeight="true" outlineLevel="0" collapsed="false">
      <c r="A54" s="42"/>
      <c r="B54" s="34"/>
      <c r="C54" s="34"/>
      <c r="D54" s="34"/>
      <c r="E54" s="34"/>
      <c r="F54" s="34"/>
      <c r="G54" s="103"/>
      <c r="H54" s="103"/>
      <c r="I54" s="103"/>
      <c r="J54" s="104"/>
      <c r="K54" s="34"/>
      <c r="L54" s="34"/>
    </row>
    <row r="55" customFormat="false" ht="15" hidden="false" customHeight="true" outlineLevel="0" collapsed="false">
      <c r="A55" s="42"/>
      <c r="B55" s="34"/>
      <c r="C55" s="34"/>
      <c r="D55" s="34"/>
      <c r="E55" s="34"/>
      <c r="F55" s="34"/>
      <c r="G55" s="103"/>
      <c r="H55" s="103"/>
      <c r="I55" s="103"/>
      <c r="J55" s="104"/>
      <c r="K55" s="34"/>
      <c r="L55" s="34"/>
    </row>
    <row r="56" customFormat="false" ht="15" hidden="false" customHeight="true" outlineLevel="0" collapsed="false">
      <c r="A56" s="42"/>
      <c r="B56" s="34"/>
      <c r="C56" s="34"/>
      <c r="D56" s="34"/>
      <c r="E56" s="34"/>
      <c r="F56" s="34"/>
      <c r="G56" s="103"/>
      <c r="H56" s="103"/>
      <c r="I56" s="103"/>
      <c r="J56" s="104"/>
      <c r="K56" s="34"/>
      <c r="L56" s="34"/>
    </row>
    <row r="57" customFormat="false" ht="15" hidden="false" customHeight="true" outlineLevel="0" collapsed="false">
      <c r="A57" s="42"/>
      <c r="B57" s="34"/>
      <c r="C57" s="34"/>
      <c r="D57" s="34"/>
      <c r="E57" s="34"/>
      <c r="F57" s="34"/>
      <c r="G57" s="103"/>
      <c r="H57" s="103"/>
      <c r="I57" s="103"/>
      <c r="J57" s="104"/>
      <c r="K57" s="34"/>
      <c r="L57" s="34"/>
    </row>
    <row r="58" customFormat="false" ht="15" hidden="false" customHeight="true" outlineLevel="0" collapsed="false">
      <c r="A58" s="42"/>
      <c r="B58" s="34"/>
      <c r="C58" s="34"/>
      <c r="D58" s="34"/>
      <c r="E58" s="34"/>
      <c r="F58" s="34"/>
      <c r="G58" s="103"/>
      <c r="H58" s="103"/>
      <c r="I58" s="103"/>
      <c r="J58" s="104"/>
      <c r="K58" s="34"/>
      <c r="L58" s="34"/>
    </row>
    <row r="59" customFormat="false" ht="15" hidden="false" customHeight="true" outlineLevel="0" collapsed="false">
      <c r="A59" s="42"/>
      <c r="B59" s="34"/>
      <c r="C59" s="34"/>
      <c r="D59" s="34"/>
      <c r="E59" s="34"/>
      <c r="F59" s="34"/>
      <c r="G59" s="103"/>
      <c r="H59" s="103"/>
      <c r="I59" s="103"/>
      <c r="J59" s="104"/>
      <c r="K59" s="34"/>
      <c r="L59" s="34"/>
    </row>
    <row r="60" customFormat="false" ht="15" hidden="false" customHeight="true" outlineLevel="0" collapsed="false">
      <c r="A60" s="42"/>
      <c r="B60" s="34"/>
      <c r="C60" s="34"/>
      <c r="D60" s="34"/>
      <c r="E60" s="34"/>
      <c r="F60" s="34"/>
      <c r="G60" s="103"/>
      <c r="H60" s="103"/>
      <c r="I60" s="103"/>
      <c r="J60" s="104"/>
      <c r="K60" s="34"/>
      <c r="L60" s="34"/>
    </row>
    <row r="61" customFormat="false" ht="15" hidden="false" customHeight="true" outlineLevel="0" collapsed="false">
      <c r="A61" s="42"/>
      <c r="B61" s="34"/>
      <c r="C61" s="34"/>
      <c r="D61" s="34"/>
      <c r="E61" s="34"/>
      <c r="F61" s="34"/>
      <c r="G61" s="103"/>
      <c r="H61" s="103"/>
      <c r="I61" s="103"/>
      <c r="J61" s="104"/>
      <c r="K61" s="34"/>
      <c r="L61" s="34"/>
    </row>
    <row r="62" customFormat="false" ht="15" hidden="false" customHeight="true" outlineLevel="0" collapsed="false">
      <c r="A62" s="42"/>
      <c r="B62" s="34"/>
      <c r="C62" s="34"/>
      <c r="D62" s="34"/>
      <c r="E62" s="34"/>
      <c r="F62" s="34"/>
      <c r="G62" s="103"/>
      <c r="H62" s="103"/>
      <c r="I62" s="103"/>
      <c r="J62" s="104"/>
      <c r="K62" s="34"/>
      <c r="L62" s="34"/>
    </row>
    <row r="63" customFormat="false" ht="15" hidden="false" customHeight="true" outlineLevel="0" collapsed="false">
      <c r="A63" s="42"/>
      <c r="B63" s="34"/>
      <c r="C63" s="34"/>
      <c r="D63" s="34"/>
      <c r="E63" s="34"/>
      <c r="F63" s="34"/>
      <c r="G63" s="103"/>
      <c r="H63" s="103"/>
      <c r="I63" s="103"/>
      <c r="J63" s="104"/>
      <c r="K63" s="34"/>
      <c r="L63" s="34"/>
    </row>
    <row r="64" customFormat="false" ht="15" hidden="false" customHeight="true" outlineLevel="0" collapsed="false">
      <c r="A64" s="42"/>
      <c r="B64" s="34"/>
      <c r="C64" s="34"/>
      <c r="D64" s="34"/>
      <c r="E64" s="34"/>
      <c r="F64" s="34"/>
      <c r="G64" s="103"/>
      <c r="H64" s="103"/>
      <c r="I64" s="103"/>
      <c r="J64" s="104"/>
      <c r="K64" s="34"/>
      <c r="L64" s="34"/>
    </row>
    <row r="65" customFormat="false" ht="15" hidden="false" customHeight="true" outlineLevel="0" collapsed="false">
      <c r="A65" s="42"/>
      <c r="B65" s="34"/>
      <c r="C65" s="34"/>
      <c r="D65" s="34"/>
      <c r="E65" s="34"/>
      <c r="F65" s="34"/>
      <c r="G65" s="103"/>
      <c r="H65" s="103"/>
      <c r="I65" s="103"/>
      <c r="J65" s="104"/>
      <c r="K65" s="34"/>
      <c r="L65" s="34"/>
    </row>
  </sheetData>
  <dataValidations count="4">
    <dataValidation allowBlank="true" error="Please select a valid value." errorStyle="stop" errorTitle="Invalid value" operator="between" prompt="H₂S status" promptTitle="Select value" showDropDown="false" showErrorMessage="true" showInputMessage="true" sqref="E6:E65" type="list">
      <formula1>"Nil,Detected"</formula1>
      <formula2>0</formula2>
    </dataValidation>
    <dataValidation allowBlank="true" error="Please select a valid value." errorStyle="stop" errorTitle="Invalid value" operator="between" prompt="Evidence source" promptTitle="Select value" showDropDown="false" showErrorMessage="true" showInputMessage="true" sqref="K6:K65" type="list">
      <formula1>"Lab,Field Kit,Field Observation,Other"</formula1>
      <formula2>0</formula2>
    </dataValidation>
    <dataValidation allowBlank="true" error="Zooplankton score must be 0–3." errorStyle="stop" operator="between" showDropDown="false" showErrorMessage="true" showInputMessage="false" sqref="J6:J65" type="whole">
      <formula1>0</formula1>
      <formula2>3</formula2>
    </dataValidation>
    <dataValidation allowBlank="true" error="Enter percentage as decimal 0–1." errorStyle="stop" operator="between" showDropDown="false" showErrorMessage="true" showInputMessage="false" sqref="G6:I6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true" outlineLevel="0" collapsed="false">
      <c r="A1" s="1" t="s">
        <v>869</v>
      </c>
    </row>
    <row r="2" customFormat="false" ht="15" hidden="false" customHeight="true" outlineLevel="0" collapsed="false">
      <c r="A2" s="1" t="s">
        <v>870</v>
      </c>
      <c r="M2" s="1" t="n">
        <f aca="false">IFERROR(MAX(0,MIN(1,0.8*AVERAGEIFS($E$5:$E$370,$A$5:$A$370,"&gt;="&amp;Dashboard!$B$54,$A$5:$A$370,"&lt;="&amp;Dashboard!$B$55)/MAX($K$5:$K$369)+0.2*AVERAGEIFS($F$5:$F$370,$A$5:$A$370,"&gt;="&amp;Dashboard!$B$54,$A$5:$A$370,"&lt;="&amp;Dashboard!$B$55)/MAX($L$5:$L$369))),1)</f>
        <v>1</v>
      </c>
    </row>
    <row r="3" customFormat="false" ht="15" hidden="false" customHeight="true" outlineLevel="0" collapsed="false">
      <c r="A3" s="1" t="n">
        <f aca="false">IFERROR(MAX(0,MIN(1,0.8*AVERAGEIFS($E$5:$E$370,$A$5:$A$370,"&gt;="&amp;Dashboard!$B$54,$A$5:$A$370,"&lt;="&amp;Dashboard!$B$55)/MAX($J$5:$J$369)+0.2*AVERAGEIFS($F$5:$F$370,$A$5:$A$370,"&gt;="&amp;Dashboard!$B$54,$A$5:$A$370,"&lt;="&amp;Dashboard!$B$55)/MAX($K$5:$K$369))),1)</f>
        <v>1</v>
      </c>
      <c r="M3" s="1" t="str">
        <f aca="false">IF(AND(Dashboard!$B$53&lt;&gt;"",Dashboard!$B$54&lt;&gt;"",Dashboard!$B$55&lt;&gt;""),"DERIVED","DEFAULT")</f>
        <v>DEFAULT</v>
      </c>
    </row>
    <row r="4" customFormat="false" ht="41.25" hidden="false" customHeight="true" outlineLevel="0" collapsed="false">
      <c r="A4" s="40" t="s">
        <v>858</v>
      </c>
      <c r="B4" s="40" t="s">
        <v>871</v>
      </c>
      <c r="C4" s="40" t="s">
        <v>872</v>
      </c>
      <c r="D4" s="40" t="s">
        <v>873</v>
      </c>
      <c r="E4" s="40" t="s">
        <v>874</v>
      </c>
      <c r="F4" s="40" t="s">
        <v>875</v>
      </c>
      <c r="G4" s="40"/>
      <c r="H4" s="40" t="s">
        <v>876</v>
      </c>
      <c r="I4" s="40" t="s">
        <v>872</v>
      </c>
      <c r="J4" s="40" t="s">
        <v>873</v>
      </c>
      <c r="K4" s="40" t="s">
        <v>877</v>
      </c>
      <c r="L4" s="1" t="s">
        <v>875</v>
      </c>
    </row>
    <row r="5" customFormat="false" ht="15" hidden="false" customHeight="true" outlineLevel="0" collapsed="false">
      <c r="A5" s="1" t="str">
        <f aca="false">IF(Dashboard!$B$54="","",Dashboard!$B$54)</f>
        <v/>
      </c>
      <c r="B5" s="1" t="str">
        <f aca="false">IF(A5="","",A5-DATE(YEAR(A5),1,0))</f>
        <v/>
      </c>
      <c r="C5" s="1" t="str">
        <f aca="false">IF(A5="","",0.409*SIN(2*PI()*B5/365-1.39))</f>
        <v/>
      </c>
      <c r="D5" s="1" t="str">
        <f aca="false">IF(A5="","",ACOS(-TAN(RADIANS(Dashboard!$B$53))*TAN(C5)))</f>
        <v/>
      </c>
      <c r="E5" s="1" t="str">
        <f aca="false">IF(A5="","",(24*60/PI())*0.082*(1+0.033*COS(2*PI()*B5/365))*(D5*SIN(RADIANS(Dashboard!$B$53))*SIN(C5)+COS(RADIANS(Dashboard!$B$53))*COS(C5)*SIN(D5)))</f>
        <v/>
      </c>
      <c r="F5" s="1" t="str">
        <f aca="false">IF(A5="","",24/PI()*D5)</f>
        <v/>
      </c>
      <c r="H5" s="1" t="n">
        <v>1</v>
      </c>
      <c r="I5" s="1" t="n">
        <f aca="false">0.409*SIN(2*PI()*H5/365-1.39)</f>
        <v>-0.401008092594624</v>
      </c>
      <c r="J5" s="1" t="n">
        <f aca="false">ACOS(-TAN(RADIANS(Dashboard!$B$53))*TAN(I5))</f>
        <v>1.44487461994713</v>
      </c>
      <c r="K5" s="1" t="n">
        <f aca="false">(24*60/PI())*0.082*(1+0.033*COS(2*PI()*H5/365))*(J5*SIN(RADIANS(Dashboard!$B$53))*SIN(I5)+COS(RADIANS(Dashboard!$B$53))*COS(I5)*SIN(J5))</f>
        <v>27.7832438346384</v>
      </c>
      <c r="L5" s="1" t="n">
        <f aca="false">24/PI()*J5</f>
        <v>11.0380290198053</v>
      </c>
    </row>
    <row r="6" customFormat="false" ht="15" hidden="false" customHeight="true" outlineLevel="0" collapsed="false">
      <c r="A6" s="1" t="str">
        <f aca="false">IF(OR(A5="",A5&gt;=Dashboard!$B$55),"",A5+1)</f>
        <v/>
      </c>
      <c r="B6" s="1" t="str">
        <f aca="false">IF(A6="","",A6-DATE(YEAR(A6),1,0))</f>
        <v/>
      </c>
      <c r="C6" s="1" t="str">
        <f aca="false">IF(A6="","",0.409*SIN(2*PI()*B6/365-1.39))</f>
        <v/>
      </c>
      <c r="D6" s="1" t="str">
        <f aca="false">IF(A6="","",ACOS(-TAN(RADIANS(Dashboard!$B$53))*TAN(C6)))</f>
        <v/>
      </c>
      <c r="E6" s="1" t="str">
        <f aca="false">IF(A6="","",(24*60/PI())*0.082*(1+0.033*COS(2*PI()*B6/365))*(D6*SIN(RADIANS(Dashboard!$B$53))*SIN(C6)+COS(RADIANS(Dashboard!$B$53))*COS(C6)*SIN(D6)))</f>
        <v/>
      </c>
      <c r="F6" s="1" t="str">
        <f aca="false">IF(A6="","",24/PI()*D6)</f>
        <v/>
      </c>
      <c r="H6" s="1" t="n">
        <v>2</v>
      </c>
      <c r="I6" s="1" t="n">
        <f aca="false">0.409*SIN(2*PI()*H6/365-1.39)</f>
        <v>-0.399563724579136</v>
      </c>
      <c r="J6" s="1" t="n">
        <f aca="false">ACOS(-TAN(RADIANS(Dashboard!$B$53))*TAN(I6))</f>
        <v>1.44538307129307</v>
      </c>
      <c r="K6" s="1" t="n">
        <f aca="false">(24*60/PI())*0.082*(1+0.033*COS(2*PI()*H6/365))*(J6*SIN(RADIANS(Dashboard!$B$53))*SIN(I6)+COS(RADIANS(Dashboard!$B$53))*COS(I6)*SIN(J6))</f>
        <v>27.8248343050684</v>
      </c>
      <c r="L6" s="1" t="n">
        <f aca="false">24/PI()*J6</f>
        <v>11.0419133019666</v>
      </c>
    </row>
    <row r="7" customFormat="false" ht="15" hidden="false" customHeight="true" outlineLevel="0" collapsed="false">
      <c r="A7" s="1" t="str">
        <f aca="false">IF(OR(A6="",A6&gt;=Dashboard!$B$55),"",A6+1)</f>
        <v/>
      </c>
      <c r="B7" s="1" t="str">
        <f aca="false">IF(A7="","",A7-DATE(YEAR(A7),1,0))</f>
        <v/>
      </c>
      <c r="C7" s="1" t="str">
        <f aca="false">IF(A7="","",0.409*SIN(2*PI()*B7/365-1.39))</f>
        <v/>
      </c>
      <c r="D7" s="1" t="str">
        <f aca="false">IF(A7="","",ACOS(-TAN(RADIANS(Dashboard!$B$53))*TAN(C7)))</f>
        <v/>
      </c>
      <c r="E7" s="1" t="str">
        <f aca="false">IF(A7="","",(24*60/PI())*0.082*(1+0.033*COS(2*PI()*B7/365))*(D7*SIN(RADIANS(Dashboard!$B$53))*SIN(C7)+COS(RADIANS(Dashboard!$B$53))*COS(C7)*SIN(D7)))</f>
        <v/>
      </c>
      <c r="F7" s="1" t="str">
        <f aca="false">IF(A7="","",24/PI()*D7)</f>
        <v/>
      </c>
      <c r="H7" s="1" t="n">
        <v>3</v>
      </c>
      <c r="I7" s="1" t="n">
        <f aca="false">0.409*SIN(2*PI()*H7/365-1.39)</f>
        <v>-0.398000957208764</v>
      </c>
      <c r="J7" s="1" t="n">
        <f aca="false">ACOS(-TAN(RADIANS(Dashboard!$B$53))*TAN(I7))</f>
        <v>1.44593246729162</v>
      </c>
      <c r="K7" s="1" t="n">
        <f aca="false">(24*60/PI())*0.082*(1+0.033*COS(2*PI()*H7/365))*(J7*SIN(RADIANS(Dashboard!$B$53))*SIN(I7)+COS(RADIANS(Dashboard!$B$53))*COS(I7)*SIN(J7))</f>
        <v>27.8695460079556</v>
      </c>
      <c r="L7" s="1" t="n">
        <f aca="false">24/PI()*J7</f>
        <v>11.046110378233</v>
      </c>
    </row>
    <row r="8" customFormat="false" ht="15" hidden="false" customHeight="true" outlineLevel="0" collapsed="false">
      <c r="A8" s="1" t="str">
        <f aca="false">IF(OR(A7="",A7&gt;=Dashboard!$B$55),"",A7+1)</f>
        <v/>
      </c>
      <c r="B8" s="1" t="str">
        <f aca="false">IF(A8="","",A8-DATE(YEAR(A8),1,0))</f>
        <v/>
      </c>
      <c r="C8" s="1" t="str">
        <f aca="false">IF(A8="","",0.409*SIN(2*PI()*B8/365-1.39))</f>
        <v/>
      </c>
      <c r="D8" s="1" t="str">
        <f aca="false">IF(A8="","",ACOS(-TAN(RADIANS(Dashboard!$B$53))*TAN(C8)))</f>
        <v/>
      </c>
      <c r="E8" s="1" t="str">
        <f aca="false">IF(A8="","",(24*60/PI())*0.082*(1+0.033*COS(2*PI()*B8/365))*(D8*SIN(RADIANS(Dashboard!$B$53))*SIN(C8)+COS(RADIANS(Dashboard!$B$53))*COS(C8)*SIN(D8)))</f>
        <v/>
      </c>
      <c r="F8" s="1" t="str">
        <f aca="false">IF(A8="","",24/PI()*D8)</f>
        <v/>
      </c>
      <c r="H8" s="1" t="n">
        <v>4</v>
      </c>
      <c r="I8" s="1" t="n">
        <f aca="false">0.409*SIN(2*PI()*H8/365-1.39)</f>
        <v>-0.396320253565207</v>
      </c>
      <c r="J8" s="1" t="n">
        <f aca="false">ACOS(-TAN(RADIANS(Dashboard!$B$53))*TAN(I8))</f>
        <v>1.44652247689031</v>
      </c>
      <c r="K8" s="1" t="n">
        <f aca="false">(24*60/PI())*0.082*(1+0.033*COS(2*PI()*H8/365))*(J8*SIN(RADIANS(Dashboard!$B$53))*SIN(I8)+COS(RADIANS(Dashboard!$B$53))*COS(I8)*SIN(J8))</f>
        <v>27.9173509392726</v>
      </c>
      <c r="L8" s="1" t="n">
        <f aca="false">24/PI()*J8</f>
        <v>11.05061771955</v>
      </c>
    </row>
    <row r="9" customFormat="false" ht="15" hidden="false" customHeight="true" outlineLevel="0" collapsed="false">
      <c r="A9" s="1" t="str">
        <f aca="false">IF(OR(A8="",A8&gt;=Dashboard!$B$55),"",A8+1)</f>
        <v/>
      </c>
      <c r="B9" s="1" t="str">
        <f aca="false">IF(A9="","",A9-DATE(YEAR(A9),1,0))</f>
        <v/>
      </c>
      <c r="C9" s="1" t="str">
        <f aca="false">IF(A9="","",0.409*SIN(2*PI()*B9/365-1.39))</f>
        <v/>
      </c>
      <c r="D9" s="1" t="str">
        <f aca="false">IF(A9="","",ACOS(-TAN(RADIANS(Dashboard!$B$53))*TAN(C9)))</f>
        <v/>
      </c>
      <c r="E9" s="1" t="str">
        <f aca="false">IF(A9="","",(24*60/PI())*0.082*(1+0.033*COS(2*PI()*B9/365))*(D9*SIN(RADIANS(Dashboard!$B$53))*SIN(C9)+COS(RADIANS(Dashboard!$B$53))*COS(C9)*SIN(D9)))</f>
        <v/>
      </c>
      <c r="F9" s="1" t="str">
        <f aca="false">IF(A9="","",24/PI()*D9)</f>
        <v/>
      </c>
      <c r="H9" s="1" t="n">
        <v>5</v>
      </c>
      <c r="I9" s="1" t="n">
        <f aca="false">0.409*SIN(2*PI()*H9/365-1.39)</f>
        <v>-0.394522111677228</v>
      </c>
      <c r="J9" s="1" t="n">
        <f aca="false">ACOS(-TAN(RADIANS(Dashboard!$B$53))*TAN(I9))</f>
        <v>1.44715274689536</v>
      </c>
      <c r="K9" s="1" t="n">
        <f aca="false">(24*60/PI())*0.082*(1+0.033*COS(2*PI()*H9/365))*(J9*SIN(RADIANS(Dashboard!$B$53))*SIN(I9)+COS(RADIANS(Dashboard!$B$53))*COS(I9)*SIN(J9))</f>
        <v>27.9682189957831</v>
      </c>
      <c r="L9" s="1" t="n">
        <f aca="false">24/PI()*J9</f>
        <v>11.0554326277157</v>
      </c>
    </row>
    <row r="10" customFormat="false" ht="15" hidden="false" customHeight="true" outlineLevel="0" collapsed="false">
      <c r="A10" s="1" t="str">
        <f aca="false">IF(OR(A9="",A9&gt;=Dashboard!$B$55),"",A9+1)</f>
        <v/>
      </c>
      <c r="B10" s="1" t="str">
        <f aca="false">IF(A10="","",A10-DATE(YEAR(A10),1,0))</f>
        <v/>
      </c>
      <c r="C10" s="1" t="str">
        <f aca="false">IF(A10="","",0.409*SIN(2*PI()*B10/365-1.39))</f>
        <v/>
      </c>
      <c r="D10" s="1" t="str">
        <f aca="false">IF(A10="","",ACOS(-TAN(RADIANS(Dashboard!$B$53))*TAN(C10)))</f>
        <v/>
      </c>
      <c r="E10" s="1" t="str">
        <f aca="false">IF(A10="","",(24*60/PI())*0.082*(1+0.033*COS(2*PI()*B10/365))*(D10*SIN(RADIANS(Dashboard!$B$53))*SIN(C10)+COS(RADIANS(Dashboard!$B$53))*COS(C10)*SIN(D10)))</f>
        <v/>
      </c>
      <c r="F10" s="1" t="str">
        <f aca="false">IF(A10="","",24/PI()*D10)</f>
        <v/>
      </c>
      <c r="H10" s="1" t="n">
        <v>6</v>
      </c>
      <c r="I10" s="1" t="n">
        <f aca="false">0.409*SIN(2*PI()*H10/365-1.39)</f>
        <v>-0.392607064373073</v>
      </c>
      <c r="J10" s="1" t="n">
        <f aca="false">ACOS(-TAN(RADIANS(Dashboard!$B$53))*TAN(I10))</f>
        <v>1.44782290266415</v>
      </c>
      <c r="K10" s="1" t="n">
        <f aca="false">(24*60/PI())*0.082*(1+0.033*COS(2*PI()*H10/365))*(J10*SIN(RADIANS(Dashboard!$B$53))*SIN(I10)+COS(RADIANS(Dashboard!$B$53))*COS(I10)*SIN(J10))</f>
        <v>28.0221179928362</v>
      </c>
      <c r="L10" s="1" t="n">
        <f aca="false">24/PI()*J10</f>
        <v>11.0605522406715</v>
      </c>
    </row>
    <row r="11" customFormat="false" ht="15" hidden="false" customHeight="true" outlineLevel="0" collapsed="false">
      <c r="A11" s="1" t="str">
        <f aca="false">IF(OR(A10="",A10&gt;=Dashboard!$B$55),"",A10+1)</f>
        <v/>
      </c>
      <c r="B11" s="1" t="str">
        <f aca="false">IF(A11="","",A11-DATE(YEAR(A11),1,0))</f>
        <v/>
      </c>
      <c r="C11" s="1" t="str">
        <f aca="false">IF(A11="","",0.409*SIN(2*PI()*B11/365-1.39))</f>
        <v/>
      </c>
      <c r="D11" s="1" t="str">
        <f aca="false">IF(A11="","",ACOS(-TAN(RADIANS(Dashboard!$B$53))*TAN(C11)))</f>
        <v/>
      </c>
      <c r="E11" s="1" t="str">
        <f aca="false">IF(A11="","",(24*60/PI())*0.082*(1+0.033*COS(2*PI()*B11/365))*(D11*SIN(RADIANS(Dashboard!$B$53))*SIN(C11)+COS(RADIANS(Dashboard!$B$53))*COS(C11)*SIN(D11)))</f>
        <v/>
      </c>
      <c r="F11" s="1" t="str">
        <f aca="false">IF(A11="","",24/PI()*D11)</f>
        <v/>
      </c>
      <c r="H11" s="1" t="n">
        <v>7</v>
      </c>
      <c r="I11" s="1" t="n">
        <f aca="false">0.409*SIN(2*PI()*H11/365-1.39)</f>
        <v>-0.390575679122591</v>
      </c>
      <c r="J11" s="1" t="n">
        <f aca="false">ACOS(-TAN(RADIANS(Dashboard!$B$53))*TAN(I11))</f>
        <v>1.44853254883187</v>
      </c>
      <c r="K11" s="1" t="n">
        <f aca="false">(24*60/PI())*0.082*(1+0.033*COS(2*PI()*H11/365))*(J11*SIN(RADIANS(Dashboard!$B$53))*SIN(I11)+COS(RADIANS(Dashboard!$B$53))*COS(I11)*SIN(J11))</f>
        <v>28.0790136837178</v>
      </c>
      <c r="L11" s="1" t="n">
        <f aca="false">24/PI()*J11</f>
        <v>11.0659735380525</v>
      </c>
    </row>
    <row r="12" customFormat="false" ht="15" hidden="false" customHeight="true" outlineLevel="0" collapsed="false">
      <c r="A12" s="1" t="str">
        <f aca="false">IF(OR(A11="",A11&gt;=Dashboard!$B$55),"",A11+1)</f>
        <v/>
      </c>
      <c r="B12" s="1" t="str">
        <f aca="false">IF(A12="","",A12-DATE(YEAR(A12),1,0))</f>
        <v/>
      </c>
      <c r="C12" s="1" t="str">
        <f aca="false">IF(A12="","",0.409*SIN(2*PI()*B12/365-1.39))</f>
        <v/>
      </c>
      <c r="D12" s="1" t="str">
        <f aca="false">IF(A12="","",ACOS(-TAN(RADIANS(Dashboard!$B$53))*TAN(C12)))</f>
        <v/>
      </c>
      <c r="E12" s="1" t="str">
        <f aca="false">IF(A12="","",(24*60/PI())*0.082*(1+0.033*COS(2*PI()*B12/365))*(D12*SIN(RADIANS(Dashboard!$B$53))*SIN(C12)+COS(RADIANS(Dashboard!$B$53))*COS(C12)*SIN(D12)))</f>
        <v/>
      </c>
      <c r="F12" s="1" t="str">
        <f aca="false">IF(A12="","",24/PI()*D12)</f>
        <v/>
      </c>
      <c r="H12" s="1" t="n">
        <v>8</v>
      </c>
      <c r="I12" s="1" t="n">
        <f aca="false">0.409*SIN(2*PI()*H12/365-1.39)</f>
        <v>-0.388428557869071</v>
      </c>
      <c r="J12" s="1" t="n">
        <f aca="false">ACOS(-TAN(RADIANS(Dashboard!$B$53))*TAN(I12))</f>
        <v>1.44928127006949</v>
      </c>
      <c r="K12" s="1" t="n">
        <f aca="false">(24*60/PI())*0.082*(1+0.033*COS(2*PI()*H12/365))*(J12*SIN(RADIANS(Dashboard!$B$53))*SIN(I12)+COS(RADIANS(Dashboard!$B$53))*COS(I12)*SIN(J12))</f>
        <v>28.1388697805866</v>
      </c>
      <c r="L12" s="1" t="n">
        <f aca="false">24/PI()*J12</f>
        <v>11.0716933469788</v>
      </c>
    </row>
    <row r="13" customFormat="false" ht="15" hidden="false" customHeight="true" outlineLevel="0" collapsed="false">
      <c r="A13" s="1" t="str">
        <f aca="false">IF(OR(A12="",A12&gt;=Dashboard!$B$55),"",A12+1)</f>
        <v/>
      </c>
      <c r="B13" s="1" t="str">
        <f aca="false">IF(A13="","",A13-DATE(YEAR(A13),1,0))</f>
        <v/>
      </c>
      <c r="C13" s="1" t="str">
        <f aca="false">IF(A13="","",0.409*SIN(2*PI()*B13/365-1.39))</f>
        <v/>
      </c>
      <c r="D13" s="1" t="str">
        <f aca="false">IF(A13="","",ACOS(-TAN(RADIANS(Dashboard!$B$53))*TAN(C13)))</f>
        <v/>
      </c>
      <c r="E13" s="1" t="str">
        <f aca="false">IF(A13="","",(24*60/PI())*0.082*(1+0.033*COS(2*PI()*B13/365))*(D13*SIN(RADIANS(Dashboard!$B$53))*SIN(C13)+COS(RADIANS(Dashboard!$B$53))*COS(C13)*SIN(D13)))</f>
        <v/>
      </c>
      <c r="F13" s="1" t="str">
        <f aca="false">IF(A13="","",24/PI()*D13)</f>
        <v/>
      </c>
      <c r="H13" s="1" t="n">
        <v>9</v>
      </c>
      <c r="I13" s="1" t="n">
        <f aca="false">0.409*SIN(2*PI()*H13/365-1.39)</f>
        <v>-0.386166336850879</v>
      </c>
      <c r="J13" s="1" t="n">
        <f aca="false">ACOS(-TAN(RADIANS(Dashboard!$B$53))*TAN(I13))</f>
        <v>1.45006863187021</v>
      </c>
      <c r="K13" s="1" t="n">
        <f aca="false">(24*60/PI())*0.082*(1+0.033*COS(2*PI()*H13/365))*(J13*SIN(RADIANS(Dashboard!$B$53))*SIN(I13)+COS(RADIANS(Dashboard!$B$53))*COS(I13)*SIN(J13))</f>
        <v>28.2016479770177</v>
      </c>
      <c r="L13" s="1" t="n">
        <f aca="false">24/PI()*J13</f>
        <v>11.077708348063</v>
      </c>
    </row>
    <row r="14" customFormat="false" ht="15" hidden="false" customHeight="true" outlineLevel="0" collapsed="false">
      <c r="A14" s="1" t="str">
        <f aca="false">IF(OR(A13="",A13&gt;=Dashboard!$B$55),"",A13+1)</f>
        <v/>
      </c>
      <c r="B14" s="1" t="str">
        <f aca="false">IF(A14="","",A14-DATE(YEAR(A14),1,0))</f>
        <v/>
      </c>
      <c r="C14" s="1" t="str">
        <f aca="false">IF(A14="","",0.409*SIN(2*PI()*B14/365-1.39))</f>
        <v/>
      </c>
      <c r="D14" s="1" t="str">
        <f aca="false">IF(A14="","",ACOS(-TAN(RADIANS(Dashboard!$B$53))*TAN(C14)))</f>
        <v/>
      </c>
      <c r="E14" s="1" t="str">
        <f aca="false">IF(A14="","",(24*60/PI())*0.082*(1+0.033*COS(2*PI()*B14/365))*(D14*SIN(RADIANS(Dashboard!$B$53))*SIN(C14)+COS(RADIANS(Dashboard!$B$53))*COS(C14)*SIN(D14)))</f>
        <v/>
      </c>
      <c r="F14" s="1" t="str">
        <f aca="false">IF(A14="","",24/PI()*D14)</f>
        <v/>
      </c>
      <c r="H14" s="1" t="n">
        <v>10</v>
      </c>
      <c r="I14" s="1" t="n">
        <f aca="false">0.409*SIN(2*PI()*H14/365-1.39)</f>
        <v>-0.383789686412926</v>
      </c>
      <c r="J14" s="1" t="n">
        <f aca="false">ACOS(-TAN(RADIANS(Dashboard!$B$53))*TAN(I14))</f>
        <v>1.45089418136141</v>
      </c>
      <c r="K14" s="1" t="n">
        <f aca="false">(24*60/PI())*0.082*(1+0.033*COS(2*PI()*H14/365))*(J14*SIN(RADIANS(Dashboard!$B$53))*SIN(I14)+COS(RADIANS(Dashboard!$B$53))*COS(I14)*SIN(J14))</f>
        <v>28.2673079721816</v>
      </c>
      <c r="L14" s="1" t="n">
        <f aca="false">24/PI()*J14</f>
        <v>11.084015081613</v>
      </c>
    </row>
    <row r="15" customFormat="false" ht="15" hidden="false" customHeight="true" outlineLevel="0" collapsed="false">
      <c r="A15" s="1" t="str">
        <f aca="false">IF(OR(A14="",A14&gt;=Dashboard!$B$55),"",A14+1)</f>
        <v/>
      </c>
      <c r="B15" s="1" t="str">
        <f aca="false">IF(A15="","",A15-DATE(YEAR(A15),1,0))</f>
        <v/>
      </c>
      <c r="C15" s="1" t="str">
        <f aca="false">IF(A15="","",0.409*SIN(2*PI()*B15/365-1.39))</f>
        <v/>
      </c>
      <c r="D15" s="1" t="str">
        <f aca="false">IF(A15="","",ACOS(-TAN(RADIANS(Dashboard!$B$53))*TAN(C15)))</f>
        <v/>
      </c>
      <c r="E15" s="1" t="str">
        <f aca="false">IF(A15="","",(24*60/PI())*0.082*(1+0.033*COS(2*PI()*B15/365))*(D15*SIN(RADIANS(Dashboard!$B$53))*SIN(C15)+COS(RADIANS(Dashboard!$B$53))*COS(C15)*SIN(D15)))</f>
        <v/>
      </c>
      <c r="F15" s="1" t="str">
        <f aca="false">IF(A15="","",24/PI()*D15)</f>
        <v/>
      </c>
      <c r="H15" s="1" t="n">
        <v>11</v>
      </c>
      <c r="I15" s="1" t="n">
        <f aca="false">0.409*SIN(2*PI()*H15/365-1.39)</f>
        <v>-0.38129931080803</v>
      </c>
      <c r="J15" s="1" t="n">
        <f aca="false">ACOS(-TAN(RADIANS(Dashboard!$B$53))*TAN(I15))</f>
        <v>1.45175744813904</v>
      </c>
      <c r="K15" s="1" t="n">
        <f aca="false">(24*60/PI())*0.082*(1+0.033*COS(2*PI()*H15/365))*(J15*SIN(RADIANS(Dashboard!$B$53))*SIN(I15)+COS(RADIANS(Dashboard!$B$53))*COS(I15)*SIN(J15))</f>
        <v>28.3358074966823</v>
      </c>
      <c r="L15" s="1" t="n">
        <f aca="false">24/PI()*J15</f>
        <v>11.0906099540066</v>
      </c>
    </row>
    <row r="16" customFormat="false" ht="15" hidden="false" customHeight="true" outlineLevel="0" collapsed="false">
      <c r="A16" s="1" t="str">
        <f aca="false">IF(OR(A15="",A15&gt;=Dashboard!$B$55),"",A15+1)</f>
        <v/>
      </c>
      <c r="B16" s="1" t="str">
        <f aca="false">IF(A16="","",A16-DATE(YEAR(A16),1,0))</f>
        <v/>
      </c>
      <c r="C16" s="1" t="str">
        <f aca="false">IF(A16="","",0.409*SIN(2*PI()*B16/365-1.39))</f>
        <v/>
      </c>
      <c r="D16" s="1" t="str">
        <f aca="false">IF(A16="","",ACOS(-TAN(RADIANS(Dashboard!$B$53))*TAN(C16)))</f>
        <v/>
      </c>
      <c r="E16" s="1" t="str">
        <f aca="false">IF(A16="","",(24*60/PI())*0.082*(1+0.033*COS(2*PI()*B16/365))*(D16*SIN(RADIANS(Dashboard!$B$53))*SIN(C16)+COS(RADIANS(Dashboard!$B$53))*COS(C16)*SIN(D16)))</f>
        <v/>
      </c>
      <c r="F16" s="1" t="str">
        <f aca="false">IF(A16="","",24/PI()*D16)</f>
        <v/>
      </c>
      <c r="H16" s="1" t="n">
        <v>12</v>
      </c>
      <c r="I16" s="1" t="n">
        <f aca="false">0.409*SIN(2*PI()*H16/365-1.39)</f>
        <v>-0.378695947988228</v>
      </c>
      <c r="J16" s="1" t="n">
        <f aca="false">ACOS(-TAN(RADIANS(Dashboard!$B$53))*TAN(I16))</f>
        <v>1.45265794512148</v>
      </c>
      <c r="K16" s="1" t="n">
        <f aca="false">(24*60/PI())*0.082*(1+0.033*COS(2*PI()*H16/365))*(J16*SIN(RADIANS(Dashboard!$B$53))*SIN(I16)+COS(RADIANS(Dashboard!$B$53))*COS(I16)*SIN(J16))</f>
        <v>28.4071023400799</v>
      </c>
      <c r="L16" s="1" t="n">
        <f aca="false">24/PI()*J16</f>
        <v>11.0974892442143</v>
      </c>
    </row>
    <row r="17" customFormat="false" ht="15" hidden="false" customHeight="true" outlineLevel="0" collapsed="false">
      <c r="A17" s="1" t="str">
        <f aca="false">IF(OR(A16="",A16&gt;=Dashboard!$B$55),"",A16+1)</f>
        <v/>
      </c>
      <c r="B17" s="1" t="str">
        <f aca="false">IF(A17="","",A17-DATE(YEAR(A17),1,0))</f>
        <v/>
      </c>
      <c r="C17" s="1" t="str">
        <f aca="false">IF(A17="","",0.409*SIN(2*PI()*B17/365-1.39))</f>
        <v/>
      </c>
      <c r="D17" s="1" t="str">
        <f aca="false">IF(A17="","",ACOS(-TAN(RADIANS(Dashboard!$B$53))*TAN(C17)))</f>
        <v/>
      </c>
      <c r="E17" s="1" t="str">
        <f aca="false">IF(A17="","",(24*60/PI())*0.082*(1+0.033*COS(2*PI()*B17/365))*(D17*SIN(RADIANS(Dashboard!$B$53))*SIN(C17)+COS(RADIANS(Dashboard!$B$53))*COS(C17)*SIN(D17)))</f>
        <v/>
      </c>
      <c r="F17" s="1" t="str">
        <f aca="false">IF(A17="","",24/PI()*D17)</f>
        <v/>
      </c>
      <c r="H17" s="1" t="n">
        <v>13</v>
      </c>
      <c r="I17" s="1" t="n">
        <f aca="false">0.409*SIN(2*PI()*H17/365-1.39)</f>
        <v>-0.375980369386109</v>
      </c>
      <c r="J17" s="1" t="n">
        <f aca="false">ACOS(-TAN(RADIANS(Dashboard!$B$53))*TAN(I17))</f>
        <v>1.45359516941976</v>
      </c>
      <c r="K17" s="1" t="n">
        <f aca="false">(24*60/PI())*0.082*(1+0.033*COS(2*PI()*H17/365))*(J17*SIN(RADIANS(Dashboard!$B$53))*SIN(I17)+COS(RADIANS(Dashboard!$B$53))*COS(I17)*SIN(J17))</f>
        <v>28.4811463801192</v>
      </c>
      <c r="L17" s="1" t="n">
        <f aca="false">24/PI()*J17</f>
        <v>11.1046491104475</v>
      </c>
    </row>
    <row r="18" customFormat="false" ht="15" hidden="false" customHeight="true" outlineLevel="0" collapsed="false">
      <c r="A18" s="1" t="str">
        <f aca="false">IF(OR(A17="",A17&gt;=Dashboard!$B$55),"",A17+1)</f>
        <v/>
      </c>
      <c r="B18" s="1" t="str">
        <f aca="false">IF(A18="","",A18-DATE(YEAR(A18),1,0))</f>
        <v/>
      </c>
      <c r="C18" s="1" t="str">
        <f aca="false">IF(A18="","",0.409*SIN(2*PI()*B18/365-1.39))</f>
        <v/>
      </c>
      <c r="D18" s="1" t="str">
        <f aca="false">IF(A18="","",ACOS(-TAN(RADIANS(Dashboard!$B$53))*TAN(C18)))</f>
        <v/>
      </c>
      <c r="E18" s="1" t="str">
        <f aca="false">IF(A18="","",(24*60/PI())*0.082*(1+0.033*COS(2*PI()*B18/365))*(D18*SIN(RADIANS(Dashboard!$B$53))*SIN(C18)+COS(RADIANS(Dashboard!$B$53))*COS(C18)*SIN(D18)))</f>
        <v/>
      </c>
      <c r="F18" s="1" t="str">
        <f aca="false">IF(A18="","",24/PI()*D18)</f>
        <v/>
      </c>
      <c r="H18" s="1" t="n">
        <v>14</v>
      </c>
      <c r="I18" s="1" t="n">
        <f aca="false">0.409*SIN(2*PI()*H18/365-1.39)</f>
        <v>-0.37315337968622</v>
      </c>
      <c r="J18" s="1" t="n">
        <f aca="false">ACOS(-TAN(RADIANS(Dashboard!$B$53))*TAN(I18))</f>
        <v>1.45456860322112</v>
      </c>
      <c r="K18" s="1" t="n">
        <f aca="false">(24*60/PI())*0.082*(1+0.033*COS(2*PI()*H18/365))*(J18*SIN(RADIANS(Dashboard!$B$53))*SIN(I18)+COS(RADIANS(Dashboard!$B$53))*COS(I18)*SIN(J18))</f>
        <v>28.5578916136877</v>
      </c>
      <c r="L18" s="1" t="n">
        <f aca="false">24/PI()*J18</f>
        <v>11.1120855969079</v>
      </c>
    </row>
    <row r="19" customFormat="false" ht="15" hidden="false" customHeight="true" outlineLevel="0" collapsed="false">
      <c r="A19" s="1" t="str">
        <f aca="false">IF(OR(A18="",A18&gt;=Dashboard!$B$55),"",A18+1)</f>
        <v/>
      </c>
      <c r="B19" s="1" t="str">
        <f aca="false">IF(A19="","",A19-DATE(YEAR(A19),1,0))</f>
        <v/>
      </c>
      <c r="C19" s="1" t="str">
        <f aca="false">IF(A19="","",0.409*SIN(2*PI()*B19/365-1.39))</f>
        <v/>
      </c>
      <c r="D19" s="1" t="str">
        <f aca="false">IF(A19="","",ACOS(-TAN(RADIANS(Dashboard!$B$53))*TAN(C19)))</f>
        <v/>
      </c>
      <c r="E19" s="1" t="str">
        <f aca="false">IF(A19="","",(24*60/PI())*0.082*(1+0.033*COS(2*PI()*B19/365))*(D19*SIN(RADIANS(Dashboard!$B$53))*SIN(C19)+COS(RADIANS(Dashboard!$B$53))*COS(C19)*SIN(D19)))</f>
        <v/>
      </c>
      <c r="F19" s="1" t="str">
        <f aca="false">IF(A19="","",24/PI()*D19)</f>
        <v/>
      </c>
      <c r="H19" s="1" t="n">
        <v>15</v>
      </c>
      <c r="I19" s="1" t="n">
        <f aca="false">0.409*SIN(2*PI()*H19/365-1.39)</f>
        <v>-0.370215816586621</v>
      </c>
      <c r="J19" s="1" t="n">
        <f aca="false">ACOS(-TAN(RADIANS(Dashboard!$B$53))*TAN(I19))</f>
        <v>1.45557771468286</v>
      </c>
      <c r="K19" s="1" t="n">
        <f aca="false">(24*60/PI())*0.082*(1+0.033*COS(2*PI()*H19/365))*(J19*SIN(RADIANS(Dashboard!$B$53))*SIN(I19)+COS(RADIANS(Dashboard!$B$53))*COS(I19)*SIN(J19))</f>
        <v>28.637288189523</v>
      </c>
      <c r="L19" s="1" t="n">
        <f aca="false">24/PI()*J19</f>
        <v>11.1197946406167</v>
      </c>
    </row>
    <row r="20" customFormat="false" ht="15" hidden="false" customHeight="true" outlineLevel="0" collapsed="false">
      <c r="A20" s="1" t="str">
        <f aca="false">IF(OR(A19="",A19&gt;=Dashboard!$B$55),"",A19+1)</f>
        <v/>
      </c>
      <c r="B20" s="1" t="str">
        <f aca="false">IF(A20="","",A20-DATE(YEAR(A20),1,0))</f>
        <v/>
      </c>
      <c r="C20" s="1" t="str">
        <f aca="false">IF(A20="","",0.409*SIN(2*PI()*B20/365-1.39))</f>
        <v/>
      </c>
      <c r="D20" s="1" t="str">
        <f aca="false">IF(A20="","",ACOS(-TAN(RADIANS(Dashboard!$B$53))*TAN(C20)))</f>
        <v/>
      </c>
      <c r="E20" s="1" t="str">
        <f aca="false">IF(A20="","",(24*60/PI())*0.082*(1+0.033*COS(2*PI()*B20/365))*(D20*SIN(RADIANS(Dashboard!$B$53))*SIN(C20)+COS(RADIANS(Dashboard!$B$53))*COS(C20)*SIN(D20)))</f>
        <v/>
      </c>
      <c r="F20" s="1" t="str">
        <f aca="false">IF(A20="","",24/PI()*D20)</f>
        <v/>
      </c>
      <c r="H20" s="1" t="n">
        <v>16</v>
      </c>
      <c r="I20" s="1" t="n">
        <f aca="false">0.409*SIN(2*PI()*H20/365-1.39)</f>
        <v>-0.367168550550655</v>
      </c>
      <c r="J20" s="1" t="n">
        <f aca="false">ACOS(-TAN(RADIANS(Dashboard!$B$53))*TAN(I20))</f>
        <v>1.45662195883344</v>
      </c>
      <c r="K20" s="1" t="n">
        <f aca="false">(24*60/PI())*0.082*(1+0.033*COS(2*PI()*H20/365))*(J20*SIN(RADIANS(Dashboard!$B$53))*SIN(I20)+COS(RADIANS(Dashboard!$B$53))*COS(I20)*SIN(J20))</f>
        <v>28.7192844426872</v>
      </c>
      <c r="L20" s="1" t="n">
        <f aca="false">24/PI()*J20</f>
        <v>11.127772078298</v>
      </c>
    </row>
    <row r="21" customFormat="false" ht="15" hidden="false" customHeight="true" outlineLevel="0" collapsed="false">
      <c r="A21" s="1" t="str">
        <f aca="false">IF(OR(A20="",A20&gt;=Dashboard!$B$55),"",A20+1)</f>
        <v/>
      </c>
      <c r="B21" s="1" t="str">
        <f aca="false">IF(A21="","",A21-DATE(YEAR(A21),1,0))</f>
        <v/>
      </c>
      <c r="C21" s="1" t="str">
        <f aca="false">IF(A21="","",0.409*SIN(2*PI()*B21/365-1.39))</f>
        <v/>
      </c>
      <c r="D21" s="1" t="str">
        <f aca="false">IF(A21="","",ACOS(-TAN(RADIANS(Dashboard!$B$53))*TAN(C21)))</f>
        <v/>
      </c>
      <c r="E21" s="1" t="str">
        <f aca="false">IF(A21="","",(24*60/PI())*0.082*(1+0.033*COS(2*PI()*B21/365))*(D21*SIN(RADIANS(Dashboard!$B$53))*SIN(C21)+COS(RADIANS(Dashboard!$B$53))*COS(C21)*SIN(D21)))</f>
        <v/>
      </c>
      <c r="F21" s="1" t="str">
        <f aca="false">IF(A21="","",24/PI()*D21)</f>
        <v/>
      </c>
      <c r="H21" s="1" t="n">
        <v>17</v>
      </c>
      <c r="I21" s="1" t="n">
        <f aca="false">0.409*SIN(2*PI()*H21/365-1.39)</f>
        <v>-0.364012484549015</v>
      </c>
      <c r="J21" s="1" t="n">
        <f aca="false">ACOS(-TAN(RADIANS(Dashboard!$B$53))*TAN(I21))</f>
        <v>1.45770077847791</v>
      </c>
      <c r="K21" s="1" t="n">
        <f aca="false">(24*60/PI())*0.082*(1+0.033*COS(2*PI()*H21/365))*(J21*SIN(RADIANS(Dashboard!$B$53))*SIN(I21)+COS(RADIANS(Dashboard!$B$53))*COS(I21)*SIN(J21))</f>
        <v>28.8038269308264</v>
      </c>
      <c r="L21" s="1" t="n">
        <f aca="false">24/PI()*J21</f>
        <v>11.1360136532958</v>
      </c>
    </row>
    <row r="22" customFormat="false" ht="15" hidden="false" customHeight="true" outlineLevel="0" collapsed="false">
      <c r="A22" s="1" t="str">
        <f aca="false">IF(OR(A21="",A21&gt;=Dashboard!$B$55),"",A21+1)</f>
        <v/>
      </c>
      <c r="B22" s="1" t="str">
        <f aca="false">IF(A22="","",A22-DATE(YEAR(A22),1,0))</f>
        <v/>
      </c>
      <c r="C22" s="1" t="str">
        <f aca="false">IF(A22="","",0.409*SIN(2*PI()*B22/365-1.39))</f>
        <v/>
      </c>
      <c r="D22" s="1" t="str">
        <f aca="false">IF(A22="","",ACOS(-TAN(RADIANS(Dashboard!$B$53))*TAN(C22)))</f>
        <v/>
      </c>
      <c r="E22" s="1" t="str">
        <f aca="false">IF(A22="","",(24*60/PI())*0.082*(1+0.033*COS(2*PI()*B22/365))*(D22*SIN(RADIANS(Dashboard!$B$53))*SIN(C22)+COS(RADIANS(Dashboard!$B$53))*COS(C22)*SIN(D22)))</f>
        <v/>
      </c>
      <c r="F22" s="1" t="str">
        <f aca="false">IF(A22="","",24/PI()*D22)</f>
        <v/>
      </c>
      <c r="H22" s="1" t="n">
        <v>18</v>
      </c>
      <c r="I22" s="1" t="n">
        <f aca="false">0.409*SIN(2*PI()*H22/365-1.39)</f>
        <v>-0.36074855379217</v>
      </c>
      <c r="J22" s="1" t="n">
        <f aca="false">ACOS(-TAN(RADIANS(Dashboard!$B$53))*TAN(I22))</f>
        <v>1.45881360510476</v>
      </c>
      <c r="K22" s="1" t="n">
        <f aca="false">(24*60/PI())*0.082*(1+0.033*COS(2*PI()*H22/365))*(J22*SIN(RADIANS(Dashboard!$B$53))*SIN(I22)+COS(RADIANS(Dashboard!$B$53))*COS(I22)*SIN(J22))</f>
        <v>28.8908604722275</v>
      </c>
      <c r="L22" s="1" t="n">
        <f aca="false">24/PI()*J22</f>
        <v>11.1445150225022</v>
      </c>
    </row>
    <row r="23" customFormat="false" ht="15" hidden="false" customHeight="true" outlineLevel="0" collapsed="false">
      <c r="A23" s="1" t="str">
        <f aca="false">IF(OR(A22="",A22&gt;=Dashboard!$B$55),"",A22+1)</f>
        <v/>
      </c>
      <c r="B23" s="1" t="str">
        <f aca="false">IF(A23="","",A23-DATE(YEAR(A23),1,0))</f>
        <v/>
      </c>
      <c r="C23" s="1" t="str">
        <f aca="false">IF(A23="","",0.409*SIN(2*PI()*B23/365-1.39))</f>
        <v/>
      </c>
      <c r="D23" s="1" t="str">
        <f aca="false">IF(A23="","",ACOS(-TAN(RADIANS(Dashboard!$B$53))*TAN(C23)))</f>
        <v/>
      </c>
      <c r="E23" s="1" t="str">
        <f aca="false">IF(A23="","",(24*60/PI())*0.082*(1+0.033*COS(2*PI()*B23/365))*(D23*SIN(RADIANS(Dashboard!$B$53))*SIN(C23)+COS(RADIANS(Dashboard!$B$53))*COS(C23)*SIN(D23)))</f>
        <v/>
      </c>
      <c r="F23" s="1" t="str">
        <f aca="false">IF(A23="","",24/PI()*D23)</f>
        <v/>
      </c>
      <c r="H23" s="1" t="n">
        <v>19</v>
      </c>
      <c r="I23" s="1" t="n">
        <f aca="false">0.409*SIN(2*PI()*H23/365-1.39)</f>
        <v>-0.357377725453245</v>
      </c>
      <c r="J23" s="1" t="n">
        <f aca="false">ACOS(-TAN(RADIANS(Dashboard!$B$53))*TAN(I23))</f>
        <v>1.45995985979135</v>
      </c>
      <c r="K23" s="1" t="n">
        <f aca="false">(24*60/PI())*0.082*(1+0.033*COS(2*PI()*H23/365))*(J23*SIN(RADIANS(Dashboard!$B$53))*SIN(I23)+COS(RADIANS(Dashboard!$B$53))*COS(I23)*SIN(J23))</f>
        <v>28.9803281856848</v>
      </c>
      <c r="L23" s="1" t="n">
        <f aca="false">24/PI()*J23</f>
        <v>11.1532717632741</v>
      </c>
    </row>
    <row r="24" customFormat="false" ht="15" hidden="false" customHeight="true" outlineLevel="0" collapsed="false">
      <c r="A24" s="1" t="str">
        <f aca="false">IF(OR(A23="",A23&gt;=Dashboard!$B$55),"",A23+1)</f>
        <v/>
      </c>
      <c r="B24" s="1" t="str">
        <f aca="false">IF(A24="","",A24-DATE(YEAR(A24),1,0))</f>
        <v/>
      </c>
      <c r="C24" s="1" t="str">
        <f aca="false">IF(A24="","",0.409*SIN(2*PI()*B24/365-1.39))</f>
        <v/>
      </c>
      <c r="D24" s="1" t="str">
        <f aca="false">IF(A24="","",ACOS(-TAN(RADIANS(Dashboard!$B$53))*TAN(C24)))</f>
        <v/>
      </c>
      <c r="E24" s="1" t="str">
        <f aca="false">IF(A24="","",(24*60/PI())*0.082*(1+0.033*COS(2*PI()*B24/365))*(D24*SIN(RADIANS(Dashboard!$B$53))*SIN(C24)+COS(RADIANS(Dashboard!$B$53))*COS(C24)*SIN(D24)))</f>
        <v/>
      </c>
      <c r="F24" s="1" t="str">
        <f aca="false">IF(A24="","",24/PI()*D24)</f>
        <v/>
      </c>
      <c r="H24" s="1" t="n">
        <v>20</v>
      </c>
      <c r="I24" s="1" t="n">
        <f aca="false">0.409*SIN(2*PI()*H24/365-1.39)</f>
        <v>-0.353900998381425</v>
      </c>
      <c r="J24" s="1" t="n">
        <f aca="false">ACOS(-TAN(RADIANS(Dashboard!$B$53))*TAN(I24))</f>
        <v>1.46113895410514</v>
      </c>
      <c r="K24" s="1" t="n">
        <f aca="false">(24*60/PI())*0.082*(1+0.033*COS(2*PI()*H24/365))*(J24*SIN(RADIANS(Dashboard!$B$53))*SIN(I24)+COS(RADIANS(Dashboard!$B$53))*COS(I24)*SIN(J24))</f>
        <v>29.0721715321861</v>
      </c>
      <c r="L24" s="1" t="n">
        <f aca="false">24/PI()*J24</f>
        <v>11.1622793803179</v>
      </c>
    </row>
    <row r="25" customFormat="false" ht="15" hidden="false" customHeight="true" outlineLevel="0" collapsed="false">
      <c r="A25" s="1" t="str">
        <f aca="false">IF(OR(A24="",A24&gt;=Dashboard!$B$55),"",A24+1)</f>
        <v/>
      </c>
      <c r="B25" s="1" t="str">
        <f aca="false">IF(A25="","",A25-DATE(YEAR(A25),1,0))</f>
        <v/>
      </c>
      <c r="C25" s="1" t="str">
        <f aca="false">IF(A25="","",0.409*SIN(2*PI()*B25/365-1.39))</f>
        <v/>
      </c>
      <c r="D25" s="1" t="str">
        <f aca="false">IF(A25="","",ACOS(-TAN(RADIANS(Dashboard!$B$53))*TAN(C25)))</f>
        <v/>
      </c>
      <c r="E25" s="1" t="str">
        <f aca="false">IF(A25="","",(24*60/PI())*0.082*(1+0.033*COS(2*PI()*B25/365))*(D25*SIN(RADIANS(Dashboard!$B$53))*SIN(C25)+COS(RADIANS(Dashboard!$B$53))*COS(C25)*SIN(D25)))</f>
        <v/>
      </c>
      <c r="F25" s="1" t="str">
        <f aca="false">IF(A25="","",24/PI()*D25)</f>
        <v/>
      </c>
      <c r="H25" s="1" t="n">
        <v>21</v>
      </c>
      <c r="I25" s="1" t="n">
        <f aca="false">0.409*SIN(2*PI()*H25/365-1.39)</f>
        <v>-0.350319402805975</v>
      </c>
      <c r="J25" s="1" t="n">
        <f aca="false">ACOS(-TAN(RADIANS(Dashboard!$B$53))*TAN(I25))</f>
        <v>1.46235029099815</v>
      </c>
      <c r="K25" s="1" t="n">
        <f aca="false">(24*60/PI())*0.082*(1+0.033*COS(2*PI()*H25/365))*(J25*SIN(RADIANS(Dashboard!$B$53))*SIN(I25)+COS(RADIANS(Dashboard!$B$53))*COS(I25)*SIN(J25))</f>
        <v>29.1663303584211</v>
      </c>
      <c r="L25" s="1" t="n">
        <f aca="false">24/PI()*J25</f>
        <v>11.1715333125229</v>
      </c>
    </row>
    <row r="26" customFormat="false" ht="15" hidden="false" customHeight="true" outlineLevel="0" collapsed="false">
      <c r="A26" s="1" t="str">
        <f aca="false">IF(OR(A25="",A25&gt;=Dashboard!$B$55),"",A25+1)</f>
        <v/>
      </c>
      <c r="B26" s="1" t="str">
        <f aca="false">IF(A26="","",A26-DATE(YEAR(A26),1,0))</f>
        <v/>
      </c>
      <c r="C26" s="1" t="str">
        <f aca="false">IF(A26="","",0.409*SIN(2*PI()*B26/365-1.39))</f>
        <v/>
      </c>
      <c r="D26" s="1" t="str">
        <f aca="false">IF(A26="","",ACOS(-TAN(RADIANS(Dashboard!$B$53))*TAN(C26)))</f>
        <v/>
      </c>
      <c r="E26" s="1" t="str">
        <f aca="false">IF(A26="","",(24*60/PI())*0.082*(1+0.033*COS(2*PI()*B26/365))*(D26*SIN(RADIANS(Dashboard!$B$53))*SIN(C26)+COS(RADIANS(Dashboard!$B$53))*COS(C26)*SIN(D26)))</f>
        <v/>
      </c>
      <c r="F26" s="1" t="str">
        <f aca="false">IF(A26="","",24/PI()*D26)</f>
        <v/>
      </c>
      <c r="H26" s="1" t="n">
        <v>22</v>
      </c>
      <c r="I26" s="1" t="n">
        <f aca="false">0.409*SIN(2*PI()*H26/365-1.39)</f>
        <v>-0.346634000030963</v>
      </c>
      <c r="J26" s="1" t="n">
        <f aca="false">ACOS(-TAN(RADIANS(Dashboard!$B$53))*TAN(I26))</f>
        <v>1.46359326569195</v>
      </c>
      <c r="K26" s="1" t="n">
        <f aca="false">(24*60/PI())*0.082*(1+0.033*COS(2*PI()*H26/365))*(J26*SIN(RADIANS(Dashboard!$B$53))*SIN(I26)+COS(RADIANS(Dashboard!$B$53))*COS(I26)*SIN(J26))</f>
        <v>29.2627429421176</v>
      </c>
      <c r="L26" s="1" t="n">
        <f aca="false">24/PI()*J26</f>
        <v>11.1810289397224</v>
      </c>
    </row>
    <row r="27" customFormat="false" ht="15" hidden="false" customHeight="true" outlineLevel="0" collapsed="false">
      <c r="A27" s="1" t="str">
        <f aca="false">IF(OR(A26="",A26&gt;=Dashboard!$B$55),"",A26+1)</f>
        <v/>
      </c>
      <c r="B27" s="1" t="str">
        <f aca="false">IF(A27="","",A27-DATE(YEAR(A27),1,0))</f>
        <v/>
      </c>
      <c r="C27" s="1" t="str">
        <f aca="false">IF(A27="","",0.409*SIN(2*PI()*B27/365-1.39))</f>
        <v/>
      </c>
      <c r="D27" s="1" t="str">
        <f aca="false">IF(A27="","",ACOS(-TAN(RADIANS(Dashboard!$B$53))*TAN(C27)))</f>
        <v/>
      </c>
      <c r="E27" s="1" t="str">
        <f aca="false">IF(A27="","",(24*60/PI())*0.082*(1+0.033*COS(2*PI()*B27/365))*(D27*SIN(RADIANS(Dashboard!$B$53))*SIN(C27)+COS(RADIANS(Dashboard!$B$53))*COS(C27)*SIN(D27)))</f>
        <v/>
      </c>
      <c r="F27" s="1" t="str">
        <f aca="false">IF(A27="","",24/PI()*D27)</f>
        <v/>
      </c>
      <c r="H27" s="1" t="n">
        <v>23</v>
      </c>
      <c r="I27" s="1" t="n">
        <f aca="false">0.409*SIN(2*PI()*H27/365-1.39)</f>
        <v>-0.342845882120767</v>
      </c>
      <c r="J27" s="1" t="n">
        <f aca="false">ACOS(-TAN(RADIANS(Dashboard!$B$53))*TAN(I27))</f>
        <v>1.46486726655093</v>
      </c>
      <c r="K27" s="1" t="n">
        <f aca="false">(24*60/PI())*0.082*(1+0.033*COS(2*PI()*H27/365))*(J27*SIN(RADIANS(Dashboard!$B$53))*SIN(I27)+COS(RADIANS(Dashboard!$B$53))*COS(I27)*SIN(J27))</f>
        <v>29.3613460392019</v>
      </c>
      <c r="L27" s="1" t="n">
        <f aca="false">24/PI()*J27</f>
        <v>11.1907615893645</v>
      </c>
    </row>
    <row r="28" customFormat="false" ht="15" hidden="false" customHeight="true" outlineLevel="0" collapsed="false">
      <c r="A28" s="1" t="str">
        <f aca="false">IF(OR(A27="",A27&gt;=Dashboard!$B$55),"",A27+1)</f>
        <v/>
      </c>
      <c r="B28" s="1" t="str">
        <f aca="false">IF(A28="","",A28-DATE(YEAR(A28),1,0))</f>
        <v/>
      </c>
      <c r="C28" s="1" t="str">
        <f aca="false">IF(A28="","",0.409*SIN(2*PI()*B28/365-1.39))</f>
        <v/>
      </c>
      <c r="D28" s="1" t="str">
        <f aca="false">IF(A28="","",ACOS(-TAN(RADIANS(Dashboard!$B$53))*TAN(C28)))</f>
        <v/>
      </c>
      <c r="E28" s="1" t="str">
        <f aca="false">IF(A28="","",(24*60/PI())*0.082*(1+0.033*COS(2*PI()*B28/365))*(D28*SIN(RADIANS(Dashboard!$B$53))*SIN(C28)+COS(RADIANS(Dashboard!$B$53))*COS(C28)*SIN(D28)))</f>
        <v/>
      </c>
      <c r="F28" s="1" t="str">
        <f aca="false">IF(A28="","",24/PI()*D28)</f>
        <v/>
      </c>
      <c r="H28" s="1" t="n">
        <v>24</v>
      </c>
      <c r="I28" s="1" t="n">
        <f aca="false">0.409*SIN(2*PI()*H28/365-1.39)</f>
        <v>-0.338956171576478</v>
      </c>
      <c r="J28" s="1" t="n">
        <f aca="false">ACOS(-TAN(RADIANS(Dashboard!$B$53))*TAN(I28))</f>
        <v>1.46617167594141</v>
      </c>
      <c r="K28" s="1" t="n">
        <f aca="false">(24*60/PI())*0.082*(1+0.033*COS(2*PI()*H28/365))*(J28*SIN(RADIANS(Dashboard!$B$53))*SIN(I28)+COS(RADIANS(Dashboard!$B$53))*COS(I28)*SIN(J28))</f>
        <v>29.4620749327806</v>
      </c>
      <c r="L28" s="1" t="n">
        <f aca="false">24/PI()*J28</f>
        <v>11.2007265430754</v>
      </c>
    </row>
    <row r="29" customFormat="false" ht="15" hidden="false" customHeight="true" outlineLevel="0" collapsed="false">
      <c r="A29" s="1" t="str">
        <f aca="false">IF(OR(A28="",A28&gt;=Dashboard!$B$55),"",A28+1)</f>
        <v/>
      </c>
      <c r="B29" s="1" t="str">
        <f aca="false">IF(A29="","",A29-DATE(YEAR(A29),1,0))</f>
        <v/>
      </c>
      <c r="C29" s="1" t="str">
        <f aca="false">IF(A29="","",0.409*SIN(2*PI()*B29/365-1.39))</f>
        <v/>
      </c>
      <c r="D29" s="1" t="str">
        <f aca="false">IF(A29="","",ACOS(-TAN(RADIANS(Dashboard!$B$53))*TAN(C29)))</f>
        <v/>
      </c>
      <c r="E29" s="1" t="str">
        <f aca="false">IF(A29="","",(24*60/PI())*0.082*(1+0.033*COS(2*PI()*B29/365))*(D29*SIN(RADIANS(Dashboard!$B$53))*SIN(C29)+COS(RADIANS(Dashboard!$B$53))*COS(C29)*SIN(D29)))</f>
        <v/>
      </c>
      <c r="F29" s="1" t="str">
        <f aca="false">IF(A29="","",24/PI()*D29)</f>
        <v/>
      </c>
      <c r="H29" s="1" t="n">
        <v>25</v>
      </c>
      <c r="I29" s="1" t="n">
        <f aca="false">0.409*SIN(2*PI()*H29/365-1.39)</f>
        <v>-0.334966021003278</v>
      </c>
      <c r="J29" s="1" t="n">
        <f aca="false">ACOS(-TAN(RADIANS(Dashboard!$B$53))*TAN(I29))</f>
        <v>1.46750587107433</v>
      </c>
      <c r="K29" s="1" t="n">
        <f aca="false">(24*60/PI())*0.082*(1+0.033*COS(2*PI()*H29/365))*(J29*SIN(RADIANS(Dashboard!$B$53))*SIN(I29)+COS(RADIANS(Dashboard!$B$53))*COS(I29)*SIN(J29))</f>
        <v>29.5648634839329</v>
      </c>
      <c r="L29" s="1" t="n">
        <f aca="false">24/PI()*J29</f>
        <v>11.2109190430972</v>
      </c>
    </row>
    <row r="30" customFormat="false" ht="15" hidden="false" customHeight="true" outlineLevel="0" collapsed="false">
      <c r="A30" s="1" t="str">
        <f aca="false">IF(OR(A29="",A29&gt;=Dashboard!$B$55),"",A29+1)</f>
        <v/>
      </c>
      <c r="B30" s="1" t="str">
        <f aca="false">IF(A30="","",A30-DATE(YEAR(A30),1,0))</f>
        <v/>
      </c>
      <c r="C30" s="1" t="str">
        <f aca="false">IF(A30="","",0.409*SIN(2*PI()*B30/365-1.39))</f>
        <v/>
      </c>
      <c r="D30" s="1" t="str">
        <f aca="false">IF(A30="","",ACOS(-TAN(RADIANS(Dashboard!$B$53))*TAN(C30)))</f>
        <v/>
      </c>
      <c r="E30" s="1" t="str">
        <f aca="false">IF(A30="","",(24*60/PI())*0.082*(1+0.033*COS(2*PI()*B30/365))*(D30*SIN(RADIANS(Dashboard!$B$53))*SIN(C30)+COS(RADIANS(Dashboard!$B$53))*COS(C30)*SIN(D30)))</f>
        <v/>
      </c>
      <c r="F30" s="1" t="str">
        <f aca="false">IF(A30="","",24/PI()*D30)</f>
        <v/>
      </c>
      <c r="H30" s="1" t="n">
        <v>26</v>
      </c>
      <c r="I30" s="1" t="n">
        <f aca="false">0.409*SIN(2*PI()*H30/365-1.39)</f>
        <v>-0.330876612768895</v>
      </c>
      <c r="J30" s="1" t="n">
        <f aca="false">ACOS(-TAN(RADIANS(Dashboard!$B$53))*TAN(I30))</f>
        <v>1.46886922482969</v>
      </c>
      <c r="K30" s="1" t="n">
        <f aca="false">(24*60/PI())*0.082*(1+0.033*COS(2*PI()*H30/365))*(J30*SIN(RADIANS(Dashboard!$B$53))*SIN(I30)+COS(RADIANS(Dashboard!$B$53))*COS(I30)*SIN(J30))</f>
        <v>29.6696441843033</v>
      </c>
      <c r="L30" s="1" t="n">
        <f aca="false">24/PI()*J30</f>
        <v>11.2213342985859</v>
      </c>
    </row>
    <row r="31" customFormat="false" ht="15" hidden="false" customHeight="true" outlineLevel="0" collapsed="false">
      <c r="A31" s="1" t="str">
        <f aca="false">IF(OR(A30="",A30&gt;=Dashboard!$B$55),"",A30+1)</f>
        <v/>
      </c>
      <c r="B31" s="1" t="str">
        <f aca="false">IF(A31="","",A31-DATE(YEAR(A31),1,0))</f>
        <v/>
      </c>
      <c r="C31" s="1" t="str">
        <f aca="false">IF(A31="","",0.409*SIN(2*PI()*B31/365-1.39))</f>
        <v/>
      </c>
      <c r="D31" s="1" t="str">
        <f aca="false">IF(A31="","",ACOS(-TAN(RADIANS(Dashboard!$B$53))*TAN(C31)))</f>
        <v/>
      </c>
      <c r="E31" s="1" t="str">
        <f aca="false">IF(A31="","",(24*60/PI())*0.082*(1+0.033*COS(2*PI()*B31/365))*(D31*SIN(RADIANS(Dashboard!$B$53))*SIN(C31)+COS(RADIANS(Dashboard!$B$53))*COS(C31)*SIN(D31)))</f>
        <v/>
      </c>
      <c r="F31" s="1" t="str">
        <f aca="false">IF(A31="","",24/PI()*D31)</f>
        <v/>
      </c>
      <c r="H31" s="1" t="n">
        <v>27</v>
      </c>
      <c r="I31" s="1" t="n">
        <f aca="false">0.409*SIN(2*PI()*H31/365-1.39)</f>
        <v>-0.326689158653247</v>
      </c>
      <c r="J31" s="1" t="n">
        <f aca="false">ACOS(-TAN(RADIANS(Dashboard!$B$53))*TAN(I31))</f>
        <v>1.47026110656054</v>
      </c>
      <c r="K31" s="1" t="n">
        <f aca="false">(24*60/PI())*0.082*(1+0.033*COS(2*PI()*H31/365))*(J31*SIN(RADIANS(Dashboard!$B$53))*SIN(I31)+COS(RADIANS(Dashboard!$B$53))*COS(I31)*SIN(J31))</f>
        <v>29.7763482104751</v>
      </c>
      <c r="L31" s="1" t="n">
        <f aca="false">24/PI()*J31</f>
        <v>11.2319674917538</v>
      </c>
    </row>
    <row r="32" customFormat="false" ht="15" hidden="false" customHeight="true" outlineLevel="0" collapsed="false">
      <c r="A32" s="1" t="str">
        <f aca="false">IF(OR(A31="",A31&gt;=Dashboard!$B$55),"",A31+1)</f>
        <v/>
      </c>
      <c r="B32" s="1" t="str">
        <f aca="false">IF(A32="","",A32-DATE(YEAR(A32),1,0))</f>
        <v/>
      </c>
      <c r="C32" s="1" t="str">
        <f aca="false">IF(A32="","",0.409*SIN(2*PI()*B32/365-1.39))</f>
        <v/>
      </c>
      <c r="D32" s="1" t="str">
        <f aca="false">IF(A32="","",ACOS(-TAN(RADIANS(Dashboard!$B$53))*TAN(C32)))</f>
        <v/>
      </c>
      <c r="E32" s="1" t="str">
        <f aca="false">IF(A32="","",(24*60/PI())*0.082*(1+0.033*COS(2*PI()*B32/365))*(D32*SIN(RADIANS(Dashboard!$B$53))*SIN(C32)+COS(RADIANS(Dashboard!$B$53))*COS(C32)*SIN(D32)))</f>
        <v/>
      </c>
      <c r="F32" s="1" t="str">
        <f aca="false">IF(A32="","",24/PI()*D32)</f>
        <v/>
      </c>
      <c r="H32" s="1" t="n">
        <v>28</v>
      </c>
      <c r="I32" s="1" t="n">
        <f aca="false">0.409*SIN(2*PI()*H32/365-1.39)</f>
        <v>-0.322404899489361</v>
      </c>
      <c r="J32" s="1" t="n">
        <f aca="false">ACOS(-TAN(RADIANS(Dashboard!$B$53))*TAN(I32))</f>
        <v>1.47168088287492</v>
      </c>
      <c r="K32" s="1" t="n">
        <f aca="false">(24*60/PI())*0.082*(1+0.033*COS(2*PI()*H32/365))*(J32*SIN(RADIANS(Dashboard!$B$53))*SIN(I32)+COS(RADIANS(Dashboard!$B$53))*COS(I32)*SIN(J32))</f>
        <v>29.8849054801059</v>
      </c>
      <c r="L32" s="1" t="n">
        <f aca="false">24/PI()*J32</f>
        <v>11.2428137838427</v>
      </c>
    </row>
    <row r="33" customFormat="false" ht="15" hidden="false" customHeight="true" outlineLevel="0" collapsed="false">
      <c r="A33" s="1" t="str">
        <f aca="false">IF(OR(A32="",A32&gt;=Dashboard!$B$55),"",A32+1)</f>
        <v/>
      </c>
      <c r="B33" s="1" t="str">
        <f aca="false">IF(A33="","",A33-DATE(YEAR(A33),1,0))</f>
        <v/>
      </c>
      <c r="C33" s="1" t="str">
        <f aca="false">IF(A33="","",0.409*SIN(2*PI()*B33/365-1.39))</f>
        <v/>
      </c>
      <c r="D33" s="1" t="str">
        <f aca="false">IF(A33="","",ACOS(-TAN(RADIANS(Dashboard!$B$53))*TAN(C33)))</f>
        <v/>
      </c>
      <c r="E33" s="1" t="str">
        <f aca="false">IF(A33="","",(24*60/PI())*0.082*(1+0.033*COS(2*PI()*B33/365))*(D33*SIN(RADIANS(Dashboard!$B$53))*SIN(C33)+COS(RADIANS(Dashboard!$B$53))*COS(C33)*SIN(D33)))</f>
        <v/>
      </c>
      <c r="F33" s="1" t="str">
        <f aca="false">IF(A33="","",24/PI()*D33)</f>
        <v/>
      </c>
      <c r="H33" s="1" t="n">
        <v>29</v>
      </c>
      <c r="I33" s="1" t="n">
        <f aca="false">0.409*SIN(2*PI()*H33/365-1.39)</f>
        <v>-0.318025104795688</v>
      </c>
      <c r="J33" s="1" t="n">
        <f aca="false">ACOS(-TAN(RADIANS(Dashboard!$B$53))*TAN(I33))</f>
        <v>1.47312791839406</v>
      </c>
      <c r="K33" s="1" t="n">
        <f aca="false">(24*60/PI())*0.082*(1+0.033*COS(2*PI()*H33/365))*(J33*SIN(RADIANS(Dashboard!$B$53))*SIN(I33)+COS(RADIANS(Dashboard!$B$53))*COS(I33)*SIN(J33))</f>
        <v>29.9952447097975</v>
      </c>
      <c r="L33" s="1" t="n">
        <f aca="false">24/PI()*J33</f>
        <v>11.2538683209163</v>
      </c>
    </row>
    <row r="34" customFormat="false" ht="15" hidden="false" customHeight="true" outlineLevel="0" collapsed="false">
      <c r="A34" s="1" t="str">
        <f aca="false">IF(OR(A33="",A33&gt;=Dashboard!$B$55),"",A33+1)</f>
        <v/>
      </c>
      <c r="B34" s="1" t="str">
        <f aca="false">IF(A34="","",A34-DATE(YEAR(A34),1,0))</f>
        <v/>
      </c>
      <c r="C34" s="1" t="str">
        <f aca="false">IF(A34="","",0.409*SIN(2*PI()*B34/365-1.39))</f>
        <v/>
      </c>
      <c r="D34" s="1" t="str">
        <f aca="false">IF(A34="","",ACOS(-TAN(RADIANS(Dashboard!$B$53))*TAN(C34)))</f>
        <v/>
      </c>
      <c r="E34" s="1" t="str">
        <f aca="false">IF(A34="","",(24*60/PI())*0.082*(1+0.033*COS(2*PI()*B34/365))*(D34*SIN(RADIANS(Dashboard!$B$53))*SIN(C34)+COS(RADIANS(Dashboard!$B$53))*COS(C34)*SIN(D34)))</f>
        <v/>
      </c>
      <c r="F34" s="1" t="str">
        <f aca="false">IF(A34="","",24/PI()*D34)</f>
        <v/>
      </c>
      <c r="H34" s="1" t="n">
        <v>30</v>
      </c>
      <c r="I34" s="1" t="n">
        <f aca="false">0.409*SIN(2*PI()*H34/365-1.39)</f>
        <v>-0.313551072399921</v>
      </c>
      <c r="J34" s="1" t="n">
        <f aca="false">ACOS(-TAN(RADIANS(Dashboard!$B$53))*TAN(I34))</f>
        <v>1.47460157648526</v>
      </c>
      <c r="K34" s="1" t="n">
        <f aca="false">(24*60/PI())*0.082*(1+0.033*COS(2*PI()*H34/365))*(J34*SIN(RADIANS(Dashboard!$B$53))*SIN(I34)+COS(RADIANS(Dashboard!$B$53))*COS(I34)*SIN(J34))</f>
        <v>30.1072934746712</v>
      </c>
      <c r="L34" s="1" t="n">
        <f aca="false">24/PI()*J34</f>
        <v>11.2651262394591</v>
      </c>
    </row>
    <row r="35" customFormat="false" ht="15" hidden="false" customHeight="true" outlineLevel="0" collapsed="false">
      <c r="A35" s="1" t="str">
        <f aca="false">IF(OR(A34="",A34&gt;=Dashboard!$B$55),"",A34+1)</f>
        <v/>
      </c>
      <c r="B35" s="1" t="str">
        <f aca="false">IF(A35="","",A35-DATE(YEAR(A35),1,0))</f>
        <v/>
      </c>
      <c r="C35" s="1" t="str">
        <f aca="false">IF(A35="","",0.409*SIN(2*PI()*B35/365-1.39))</f>
        <v/>
      </c>
      <c r="D35" s="1" t="str">
        <f aca="false">IF(A35="","",ACOS(-TAN(RADIANS(Dashboard!$B$53))*TAN(C35)))</f>
        <v/>
      </c>
      <c r="E35" s="1" t="str">
        <f aca="false">IF(A35="","",(24*60/PI())*0.082*(1+0.033*COS(2*PI()*B35/365))*(D35*SIN(RADIANS(Dashboard!$B$53))*SIN(C35)+COS(RADIANS(Dashboard!$B$53))*COS(C35)*SIN(D35)))</f>
        <v/>
      </c>
      <c r="F35" s="1" t="str">
        <f aca="false">IF(A35="","",24/PI()*D35)</f>
        <v/>
      </c>
      <c r="H35" s="1" t="n">
        <v>31</v>
      </c>
      <c r="I35" s="1" t="n">
        <f aca="false">0.409*SIN(2*PI()*H35/365-1.39)</f>
        <v>-0.308984128054415</v>
      </c>
      <c r="J35" s="1" t="n">
        <f aca="false">ACOS(-TAN(RADIANS(Dashboard!$B$53))*TAN(I35))</f>
        <v>1.47610121996822</v>
      </c>
      <c r="K35" s="1" t="n">
        <f aca="false">(24*60/PI())*0.082*(1+0.033*COS(2*PI()*H35/365))*(J35*SIN(RADIANS(Dashboard!$B$53))*SIN(I35)+COS(RADIANS(Dashboard!$B$53))*COS(I35)*SIN(J35))</f>
        <v>30.2209782696134</v>
      </c>
      <c r="L35" s="1" t="n">
        <f aca="false">24/PI()*J35</f>
        <v>11.2765826717721</v>
      </c>
    </row>
    <row r="36" customFormat="false" ht="15" hidden="false" customHeight="true" outlineLevel="0" collapsed="false">
      <c r="A36" s="1" t="str">
        <f aca="false">IF(OR(A35="",A35&gt;=Dashboard!$B$55),"",A35+1)</f>
        <v/>
      </c>
      <c r="B36" s="1" t="str">
        <f aca="false">IF(A36="","",A36-DATE(YEAR(A36),1,0))</f>
        <v/>
      </c>
      <c r="C36" s="1" t="str">
        <f aca="false">IF(A36="","",0.409*SIN(2*PI()*B36/365-1.39))</f>
        <v/>
      </c>
      <c r="D36" s="1" t="str">
        <f aca="false">IF(A36="","",ACOS(-TAN(RADIANS(Dashboard!$B$53))*TAN(C36)))</f>
        <v/>
      </c>
      <c r="E36" s="1" t="str">
        <f aca="false">IF(A36="","",(24*60/PI())*0.082*(1+0.033*COS(2*PI()*B36/365))*(D36*SIN(RADIANS(Dashboard!$B$53))*SIN(C36)+COS(RADIANS(Dashboard!$B$53))*COS(C36)*SIN(D36)))</f>
        <v/>
      </c>
      <c r="F36" s="1" t="str">
        <f aca="false">IF(A36="","",24/PI()*D36)</f>
        <v/>
      </c>
      <c r="H36" s="1" t="n">
        <v>32</v>
      </c>
      <c r="I36" s="1" t="n">
        <f aca="false">0.409*SIN(2*PI()*H36/365-1.39)</f>
        <v>-0.304325625043343</v>
      </c>
      <c r="J36" s="1" t="n">
        <f aca="false">ACOS(-TAN(RADIANS(Dashboard!$B$53))*TAN(I36))</f>
        <v>1.47762621179346</v>
      </c>
      <c r="K36" s="1" t="n">
        <f aca="false">(24*60/PI())*0.082*(1+0.033*COS(2*PI()*H36/365))*(J36*SIN(RADIANS(Dashboard!$B$53))*SIN(I36)+COS(RADIANS(Dashboard!$B$53))*COS(I36)*SIN(J36))</f>
        <v>30.3362245721512</v>
      </c>
      <c r="L36" s="1" t="n">
        <f aca="false">24/PI()*J36</f>
        <v>11.2882327511559</v>
      </c>
    </row>
    <row r="37" customFormat="false" ht="15" hidden="false" customHeight="true" outlineLevel="0" collapsed="false">
      <c r="A37" s="1" t="str">
        <f aca="false">IF(OR(A36="",A36&gt;=Dashboard!$B$55),"",A36+1)</f>
        <v/>
      </c>
      <c r="B37" s="1" t="str">
        <f aca="false">IF(A37="","",A37-DATE(YEAR(A37),1,0))</f>
        <v/>
      </c>
      <c r="C37" s="1" t="str">
        <f aca="false">IF(A37="","",0.409*SIN(2*PI()*B37/365-1.39))</f>
        <v/>
      </c>
      <c r="D37" s="1" t="str">
        <f aca="false">IF(A37="","",ACOS(-TAN(RADIANS(Dashboard!$B$53))*TAN(C37)))</f>
        <v/>
      </c>
      <c r="E37" s="1" t="str">
        <f aca="false">IF(A37="","",(24*60/PI())*0.082*(1+0.033*COS(2*PI()*B37/365))*(D37*SIN(RADIANS(Dashboard!$B$53))*SIN(C37)+COS(RADIANS(Dashboard!$B$53))*COS(C37)*SIN(D37)))</f>
        <v/>
      </c>
      <c r="F37" s="1" t="str">
        <f aca="false">IF(A37="","",24/PI()*D37)</f>
        <v/>
      </c>
      <c r="H37" s="1" t="n">
        <v>33</v>
      </c>
      <c r="I37" s="1" t="n">
        <f aca="false">0.409*SIN(2*PI()*H37/365-1.39)</f>
        <v>-0.299576943781686</v>
      </c>
      <c r="J37" s="1" t="n">
        <f aca="false">ACOS(-TAN(RADIANS(Dashboard!$B$53))*TAN(I37))</f>
        <v>1.47917591569191</v>
      </c>
      <c r="K37" s="1" t="n">
        <f aca="false">(24*60/PI())*0.082*(1+0.033*COS(2*PI()*H37/365))*(J37*SIN(RADIANS(Dashboard!$B$53))*SIN(I37)+COS(RADIANS(Dashboard!$B$53))*COS(I37)*SIN(J37))</f>
        <v>30.4529569069146</v>
      </c>
      <c r="L37" s="1" t="n">
        <f aca="false">24/PI()*J37</f>
        <v>11.3000716168727</v>
      </c>
    </row>
    <row r="38" customFormat="false" ht="15" hidden="false" customHeight="true" outlineLevel="0" collapsed="false">
      <c r="A38" s="1" t="str">
        <f aca="false">IF(OR(A37="",A37&gt;=Dashboard!$B$55),"",A37+1)</f>
        <v/>
      </c>
      <c r="B38" s="1" t="str">
        <f aca="false">IF(A38="","",A38-DATE(YEAR(A38),1,0))</f>
        <v/>
      </c>
      <c r="C38" s="1" t="str">
        <f aca="false">IF(A38="","",0.409*SIN(2*PI()*B38/365-1.39))</f>
        <v/>
      </c>
      <c r="D38" s="1" t="str">
        <f aca="false">IF(A38="","",ACOS(-TAN(RADIANS(Dashboard!$B$53))*TAN(C38)))</f>
        <v/>
      </c>
      <c r="E38" s="1" t="str">
        <f aca="false">IF(A38="","",(24*60/PI())*0.082*(1+0.033*COS(2*PI()*B38/365))*(D38*SIN(RADIANS(Dashboard!$B$53))*SIN(C38)+COS(RADIANS(Dashboard!$B$53))*COS(C38)*SIN(D38)))</f>
        <v/>
      </c>
      <c r="F38" s="1" t="str">
        <f aca="false">IF(A38="","",24/PI()*D38)</f>
        <v/>
      </c>
      <c r="H38" s="1" t="n">
        <v>34</v>
      </c>
      <c r="I38" s="1" t="n">
        <f aca="false">0.409*SIN(2*PI()*H38/365-1.39)</f>
        <v>-0.294739491406186</v>
      </c>
      <c r="J38" s="1" t="n">
        <f aca="false">ACOS(-TAN(RADIANS(Dashboard!$B$53))*TAN(I38))</f>
        <v>1.48074969679461</v>
      </c>
      <c r="K38" s="1" t="n">
        <f aca="false">(24*60/PI())*0.082*(1+0.033*COS(2*PI()*H38/365))*(J38*SIN(RADIANS(Dashboard!$B$53))*SIN(I38)+COS(RADIANS(Dashboard!$B$53))*COS(I38)*SIN(J38))</f>
        <v>30.5710989116357</v>
      </c>
      <c r="L38" s="1" t="n">
        <f aca="false">24/PI()*J38</f>
        <v>11.312094418881</v>
      </c>
    </row>
    <row r="39" customFormat="false" ht="15" hidden="false" customHeight="true" outlineLevel="0" collapsed="false">
      <c r="A39" s="1" t="str">
        <f aca="false">IF(OR(A38="",A38&gt;=Dashboard!$B$55),"",A38+1)</f>
        <v/>
      </c>
      <c r="B39" s="1" t="str">
        <f aca="false">IF(A39="","",A39-DATE(YEAR(A39),1,0))</f>
        <v/>
      </c>
      <c r="C39" s="1" t="str">
        <f aca="false">IF(A39="","",0.409*SIN(2*PI()*B39/365-1.39))</f>
        <v/>
      </c>
      <c r="D39" s="1" t="str">
        <f aca="false">IF(A39="","",ACOS(-TAN(RADIANS(Dashboard!$B$53))*TAN(C39)))</f>
        <v/>
      </c>
      <c r="E39" s="1" t="str">
        <f aca="false">IF(A39="","",(24*60/PI())*0.082*(1+0.033*COS(2*PI()*B39/365))*(D39*SIN(RADIANS(Dashboard!$B$53))*SIN(C39)+COS(RADIANS(Dashboard!$B$53))*COS(C39)*SIN(D39)))</f>
        <v/>
      </c>
      <c r="F39" s="1" t="str">
        <f aca="false">IF(A39="","",24/PI()*D39)</f>
        <v/>
      </c>
      <c r="H39" s="1" t="n">
        <v>35</v>
      </c>
      <c r="I39" s="1" t="n">
        <f aca="false">0.409*SIN(2*PI()*H39/365-1.39)</f>
        <v>-0.289814701358383</v>
      </c>
      <c r="J39" s="1" t="n">
        <f aca="false">ACOS(-TAN(RADIANS(Dashboard!$B$53))*TAN(I39))</f>
        <v>1.48234692222174</v>
      </c>
      <c r="K39" s="1" t="n">
        <f aca="false">(24*60/PI())*0.082*(1+0.033*COS(2*PI()*H39/365))*(J39*SIN(RADIANS(Dashboard!$B$53))*SIN(I39)+COS(RADIANS(Dashboard!$B$53))*COS(I39)*SIN(J39))</f>
        <v>30.6905734046312</v>
      </c>
      <c r="L39" s="1" t="n">
        <f aca="false">24/PI()*J39</f>
        <v>11.3242963223351</v>
      </c>
    </row>
    <row r="40" customFormat="false" ht="15" hidden="false" customHeight="true" outlineLevel="0" collapsed="false">
      <c r="A40" s="1" t="str">
        <f aca="false">IF(OR(A39="",A39&gt;=Dashboard!$B$55),"",A39+1)</f>
        <v/>
      </c>
      <c r="B40" s="1" t="str">
        <f aca="false">IF(A40="","",A40-DATE(YEAR(A40),1,0))</f>
        <v/>
      </c>
      <c r="C40" s="1" t="str">
        <f aca="false">IF(A40="","",0.409*SIN(2*PI()*B40/365-1.39))</f>
        <v/>
      </c>
      <c r="D40" s="1" t="str">
        <f aca="false">IF(A40="","",ACOS(-TAN(RADIANS(Dashboard!$B$53))*TAN(C40)))</f>
        <v/>
      </c>
      <c r="E40" s="1" t="str">
        <f aca="false">IF(A40="","",(24*60/PI())*0.082*(1+0.033*COS(2*PI()*B40/365))*(D40*SIN(RADIANS(Dashboard!$B$53))*SIN(C40)+COS(RADIANS(Dashboard!$B$53))*COS(C40)*SIN(D40)))</f>
        <v/>
      </c>
      <c r="F40" s="1" t="str">
        <f aca="false">IF(A40="","",24/PI()*D40)</f>
        <v/>
      </c>
      <c r="H40" s="1" t="n">
        <v>36</v>
      </c>
      <c r="I40" s="1" t="n">
        <f aca="false">0.409*SIN(2*PI()*H40/365-1.39)</f>
        <v>-0.284804032959855</v>
      </c>
      <c r="J40" s="1" t="n">
        <f aca="false">ACOS(-TAN(RADIANS(Dashboard!$B$53))*TAN(I40))</f>
        <v>1.48396696164042</v>
      </c>
      <c r="K40" s="1" t="n">
        <f aca="false">(24*60/PI())*0.082*(1+0.033*COS(2*PI()*H40/365))*(J40*SIN(RADIANS(Dashboard!$B$53))*SIN(I40)+COS(RADIANS(Dashboard!$B$53))*COS(I40)*SIN(J40))</f>
        <v>30.8113024537088</v>
      </c>
      <c r="L40" s="1" t="n">
        <f aca="false">24/PI()*J40</f>
        <v>11.3366725118465</v>
      </c>
    </row>
    <row r="41" customFormat="false" ht="15" hidden="false" customHeight="true" outlineLevel="0" collapsed="false">
      <c r="A41" s="1" t="str">
        <f aca="false">IF(OR(A40="",A40&gt;=Dashboard!$B$55),"",A40+1)</f>
        <v/>
      </c>
      <c r="B41" s="1" t="str">
        <f aca="false">IF(A41="","",A41-DATE(YEAR(A41),1,0))</f>
        <v/>
      </c>
      <c r="C41" s="1" t="str">
        <f aca="false">IF(A41="","",0.409*SIN(2*PI()*B41/365-1.39))</f>
        <v/>
      </c>
      <c r="D41" s="1" t="str">
        <f aca="false">IF(A41="","",ACOS(-TAN(RADIANS(Dashboard!$B$53))*TAN(C41)))</f>
        <v/>
      </c>
      <c r="E41" s="1" t="str">
        <f aca="false">IF(A41="","",(24*60/PI())*0.082*(1+0.033*COS(2*PI()*B41/365))*(D41*SIN(RADIANS(Dashboard!$B$53))*SIN(C41)+COS(RADIANS(Dashboard!$B$53))*COS(C41)*SIN(D41)))</f>
        <v/>
      </c>
      <c r="F41" s="1" t="str">
        <f aca="false">IF(A41="","",24/PI()*D41)</f>
        <v/>
      </c>
      <c r="H41" s="1" t="n">
        <v>37</v>
      </c>
      <c r="I41" s="1" t="n">
        <f aca="false">0.409*SIN(2*PI()*H41/365-1.39)</f>
        <v>-0.279708970979785</v>
      </c>
      <c r="J41" s="1" t="n">
        <f aca="false">ACOS(-TAN(RADIANS(Dashboard!$B$53))*TAN(I41))</f>
        <v>1.48560918779061</v>
      </c>
      <c r="K41" s="1" t="n">
        <f aca="false">(24*60/PI())*0.082*(1+0.033*COS(2*PI()*H41/365))*(J41*SIN(RADIANS(Dashboard!$B$53))*SIN(I41)+COS(RADIANS(Dashboard!$B$53))*COS(I41)*SIN(J41))</f>
        <v>30.9332074464348</v>
      </c>
      <c r="L41" s="1" t="n">
        <f aca="false">24/PI()*J41</f>
        <v>11.3492181955013</v>
      </c>
    </row>
    <row r="42" customFormat="false" ht="15" hidden="false" customHeight="true" outlineLevel="0" collapsed="false">
      <c r="A42" s="1" t="str">
        <f aca="false">IF(OR(A41="",A41&gt;=Dashboard!$B$55),"",A41+1)</f>
        <v/>
      </c>
      <c r="B42" s="1" t="str">
        <f aca="false">IF(A42="","",A42-DATE(YEAR(A42),1,0))</f>
        <v/>
      </c>
      <c r="C42" s="1" t="str">
        <f aca="false">IF(A42="","",0.409*SIN(2*PI()*B42/365-1.39))</f>
        <v/>
      </c>
      <c r="D42" s="1" t="str">
        <f aca="false">IF(A42="","",ACOS(-TAN(RADIANS(Dashboard!$B$53))*TAN(C42)))</f>
        <v/>
      </c>
      <c r="E42" s="1" t="str">
        <f aca="false">IF(A42="","",(24*60/PI())*0.082*(1+0.033*COS(2*PI()*B42/365))*(D42*SIN(RADIANS(Dashboard!$B$53))*SIN(C42)+COS(RADIANS(Dashboard!$B$53))*COS(C42)*SIN(D42)))</f>
        <v/>
      </c>
      <c r="F42" s="1" t="str">
        <f aca="false">IF(A42="","",24/PI()*D42)</f>
        <v/>
      </c>
      <c r="H42" s="1" t="n">
        <v>38</v>
      </c>
      <c r="I42" s="1" t="n">
        <f aca="false">0.409*SIN(2*PI()*H42/365-1.39)</f>
        <v>-0.274531025195001</v>
      </c>
      <c r="J42" s="1" t="n">
        <f aca="false">ACOS(-TAN(RADIANS(Dashboard!$B$53))*TAN(I42))</f>
        <v>1.48727297697875</v>
      </c>
      <c r="K42" s="1" t="n">
        <f aca="false">(24*60/PI())*0.082*(1+0.033*COS(2*PI()*H42/365))*(J42*SIN(RADIANS(Dashboard!$B$53))*SIN(I42)+COS(RADIANS(Dashboard!$B$53))*COS(I42)*SIN(J42))</f>
        <v>31.0562091616946</v>
      </c>
      <c r="L42" s="1" t="n">
        <f aca="false">24/PI()*J42</f>
        <v>11.361928608632</v>
      </c>
    </row>
    <row r="43" customFormat="false" ht="15" hidden="false" customHeight="true" outlineLevel="0" collapsed="false">
      <c r="A43" s="1" t="str">
        <f aca="false">IF(OR(A42="",A42&gt;=Dashboard!$B$55),"",A42+1)</f>
        <v/>
      </c>
      <c r="B43" s="1" t="str">
        <f aca="false">IF(A43="","",A43-DATE(YEAR(A43),1,0))</f>
        <v/>
      </c>
      <c r="C43" s="1" t="str">
        <f aca="false">IF(A43="","",0.409*SIN(2*PI()*B43/365-1.39))</f>
        <v/>
      </c>
      <c r="D43" s="1" t="str">
        <f aca="false">IF(A43="","",ACOS(-TAN(RADIANS(Dashboard!$B$53))*TAN(C43)))</f>
        <v/>
      </c>
      <c r="E43" s="1" t="str">
        <f aca="false">IF(A43="","",(24*60/PI())*0.082*(1+0.033*COS(2*PI()*B43/365))*(D43*SIN(RADIANS(Dashboard!$B$53))*SIN(C43)+COS(RADIANS(Dashboard!$B$53))*COS(C43)*SIN(D43)))</f>
        <v/>
      </c>
      <c r="F43" s="1" t="str">
        <f aca="false">IF(A43="","",24/PI()*D43)</f>
        <v/>
      </c>
      <c r="H43" s="1" t="n">
        <v>39</v>
      </c>
      <c r="I43" s="1" t="n">
        <f aca="false">0.409*SIN(2*PI()*H43/365-1.39)</f>
        <v>-0.269271729942587</v>
      </c>
      <c r="J43" s="1" t="n">
        <f aca="false">ACOS(-TAN(RADIANS(Dashboard!$B$53))*TAN(I43))</f>
        <v>1.48895770953895</v>
      </c>
      <c r="K43" s="1" t="n">
        <f aca="false">(24*60/PI())*0.082*(1+0.033*COS(2*PI()*H43/365))*(J43*SIN(RADIANS(Dashboard!$B$53))*SIN(I43)+COS(RADIANS(Dashboard!$B$53))*COS(I43)*SIN(J43))</f>
        <v>31.180227842472</v>
      </c>
      <c r="L43" s="1" t="n">
        <f aca="false">24/PI()*J43</f>
        <v>11.3747990173397</v>
      </c>
    </row>
    <row r="44" customFormat="false" ht="15" hidden="false" customHeight="true" outlineLevel="0" collapsed="false">
      <c r="A44" s="1" t="str">
        <f aca="false">IF(OR(A43="",A43&gt;=Dashboard!$B$55),"",A43+1)</f>
        <v/>
      </c>
      <c r="B44" s="1" t="str">
        <f aca="false">IF(A44="","",A44-DATE(YEAR(A44),1,0))</f>
        <v/>
      </c>
      <c r="C44" s="1" t="str">
        <f aca="false">IF(A44="","",0.409*SIN(2*PI()*B44/365-1.39))</f>
        <v/>
      </c>
      <c r="D44" s="1" t="str">
        <f aca="false">IF(A44="","",ACOS(-TAN(RADIANS(Dashboard!$B$53))*TAN(C44)))</f>
        <v/>
      </c>
      <c r="E44" s="1" t="str">
        <f aca="false">IF(A44="","",(24*60/PI())*0.082*(1+0.033*COS(2*PI()*B44/365))*(D44*SIN(RADIANS(Dashboard!$B$53))*SIN(C44)+COS(RADIANS(Dashboard!$B$53))*COS(C44)*SIN(D44)))</f>
        <v/>
      </c>
      <c r="F44" s="1" t="str">
        <f aca="false">IF(A44="","",24/PI()*D44)</f>
        <v/>
      </c>
      <c r="H44" s="1" t="n">
        <v>40</v>
      </c>
      <c r="I44" s="1" t="n">
        <f aca="false">0.409*SIN(2*PI()*H44/365-1.39)</f>
        <v>-0.26393264366523</v>
      </c>
      <c r="J44" s="1" t="n">
        <f aca="false">ACOS(-TAN(RADIANS(Dashboard!$B$53))*TAN(I44))</f>
        <v>1.49066277026139</v>
      </c>
      <c r="K44" s="1" t="n">
        <f aca="false">(24*60/PI())*0.082*(1+0.033*COS(2*PI()*H44/365))*(J44*SIN(RADIANS(Dashboard!$B$53))*SIN(I44)+COS(RADIANS(Dashboard!$B$53))*COS(I44)*SIN(J44))</f>
        <v>31.3051832697715</v>
      </c>
      <c r="L44" s="1" t="n">
        <f aca="false">24/PI()*J44</f>
        <v>11.3878247217676</v>
      </c>
    </row>
    <row r="45" customFormat="false" ht="15" hidden="false" customHeight="true" outlineLevel="0" collapsed="false">
      <c r="A45" s="1" t="str">
        <f aca="false">IF(OR(A44="",A44&gt;=Dashboard!$B$55),"",A44+1)</f>
        <v/>
      </c>
      <c r="B45" s="1" t="str">
        <f aca="false">IF(A45="","",A45-DATE(YEAR(A45),1,0))</f>
        <v/>
      </c>
      <c r="C45" s="1" t="str">
        <f aca="false">IF(A45="","",0.409*SIN(2*PI()*B45/365-1.39))</f>
        <v/>
      </c>
      <c r="D45" s="1" t="str">
        <f aca="false">IF(A45="","",ACOS(-TAN(RADIANS(Dashboard!$B$53))*TAN(C45)))</f>
        <v/>
      </c>
      <c r="E45" s="1" t="str">
        <f aca="false">IF(A45="","",(24*60/PI())*0.082*(1+0.033*COS(2*PI()*B45/365))*(D45*SIN(RADIANS(Dashboard!$B$53))*SIN(C45)+COS(RADIANS(Dashboard!$B$53))*COS(C45)*SIN(D45)))</f>
        <v/>
      </c>
      <c r="F45" s="1" t="str">
        <f aca="false">IF(A45="","",24/PI()*D45)</f>
        <v/>
      </c>
      <c r="H45" s="1" t="n">
        <v>41</v>
      </c>
      <c r="I45" s="1" t="n">
        <f aca="false">0.409*SIN(2*PI()*H45/365-1.39)</f>
        <v>-0.258515348449423</v>
      </c>
      <c r="J45" s="1" t="n">
        <f aca="false">ACOS(-TAN(RADIANS(Dashboard!$B$53))*TAN(I45))</f>
        <v>1.49238754878798</v>
      </c>
      <c r="K45" s="1" t="n">
        <f aca="false">(24*60/PI())*0.082*(1+0.033*COS(2*PI()*H45/365))*(J45*SIN(RADIANS(Dashboard!$B$53))*SIN(I45)+COS(RADIANS(Dashboard!$B$53))*COS(I45)*SIN(J45))</f>
        <v>31.4309948375997</v>
      </c>
      <c r="L45" s="1" t="n">
        <f aca="false">24/PI()*J45</f>
        <v>11.4010010591234</v>
      </c>
    </row>
    <row r="46" customFormat="false" ht="15" hidden="false" customHeight="true" outlineLevel="0" collapsed="false">
      <c r="A46" s="1" t="str">
        <f aca="false">IF(OR(A45="",A45&gt;=Dashboard!$B$55),"",A45+1)</f>
        <v/>
      </c>
      <c r="B46" s="1" t="str">
        <f aca="false">IF(A46="","",A46-DATE(YEAR(A46),1,0))</f>
        <v/>
      </c>
      <c r="C46" s="1" t="str">
        <f aca="false">IF(A46="","",0.409*SIN(2*PI()*B46/365-1.39))</f>
        <v/>
      </c>
      <c r="D46" s="1" t="str">
        <f aca="false">IF(A46="","",ACOS(-TAN(RADIANS(Dashboard!$B$53))*TAN(C46)))</f>
        <v/>
      </c>
      <c r="E46" s="1" t="str">
        <f aca="false">IF(A46="","",(24*60/PI())*0.082*(1+0.033*COS(2*PI()*B46/365))*(D46*SIN(RADIANS(Dashboard!$B$53))*SIN(C46)+COS(RADIANS(Dashboard!$B$53))*COS(C46)*SIN(D46)))</f>
        <v/>
      </c>
      <c r="F46" s="1" t="str">
        <f aca="false">IF(A46="","",24/PI()*D46)</f>
        <v/>
      </c>
      <c r="H46" s="1" t="n">
        <v>42</v>
      </c>
      <c r="I46" s="1" t="n">
        <f aca="false">0.409*SIN(2*PI()*H46/365-1.39)</f>
        <v>-0.253021449556652</v>
      </c>
      <c r="J46" s="1" t="n">
        <f aca="false">ACOS(-TAN(RADIANS(Dashboard!$B$53))*TAN(I46))</f>
        <v>1.49413143997532</v>
      </c>
      <c r="K46" s="1" t="n">
        <f aca="false">(24*60/PI())*0.082*(1+0.033*COS(2*PI()*H46/365))*(J46*SIN(RADIANS(Dashboard!$B$53))*SIN(I46)+COS(RADIANS(Dashboard!$B$53))*COS(I46)*SIN(J46))</f>
        <v>31.5575816289216</v>
      </c>
      <c r="L46" s="1" t="n">
        <f aca="false">24/PI()*J46</f>
        <v>11.4143234064521</v>
      </c>
    </row>
    <row r="47" customFormat="false" ht="15" hidden="false" customHeight="true" outlineLevel="0" collapsed="false">
      <c r="A47" s="1" t="str">
        <f aca="false">IF(OR(A46="",A46&gt;=Dashboard!$B$55),"",A46+1)</f>
        <v/>
      </c>
      <c r="B47" s="1" t="str">
        <f aca="false">IF(A47="","",A47-DATE(YEAR(A47),1,0))</f>
        <v/>
      </c>
      <c r="C47" s="1" t="str">
        <f aca="false">IF(A47="","",0.409*SIN(2*PI()*B47/365-1.39))</f>
        <v/>
      </c>
      <c r="D47" s="1" t="str">
        <f aca="false">IF(A47="","",ACOS(-TAN(RADIANS(Dashboard!$B$53))*TAN(C47)))</f>
        <v/>
      </c>
      <c r="E47" s="1" t="str">
        <f aca="false">IF(A47="","",(24*60/PI())*0.082*(1+0.033*COS(2*PI()*B47/365))*(D47*SIN(RADIANS(Dashboard!$B$53))*SIN(C47)+COS(RADIANS(Dashboard!$B$53))*COS(C47)*SIN(D47)))</f>
        <v/>
      </c>
      <c r="F47" s="1" t="str">
        <f aca="false">IF(A47="","",24/PI()*D47)</f>
        <v/>
      </c>
      <c r="H47" s="1" t="n">
        <v>43</v>
      </c>
      <c r="I47" s="1" t="n">
        <f aca="false">0.409*SIN(2*PI()*H47/365-1.39)</f>
        <v>-0.247452574947727</v>
      </c>
      <c r="J47" s="1" t="n">
        <f aca="false">ACOS(-TAN(RADIANS(Dashboard!$B$53))*TAN(I47))</f>
        <v>1.49589384422505</v>
      </c>
      <c r="K47" s="1" t="n">
        <f aca="false">(24*60/PI())*0.082*(1+0.033*COS(2*PI()*H47/365))*(J47*SIN(RADIANS(Dashboard!$B$53))*SIN(I47)+COS(RADIANS(Dashboard!$B$53))*COS(I47)*SIN(J47))</f>
        <v>31.6848624924987</v>
      </c>
      <c r="L47" s="1" t="n">
        <f aca="false">24/PI()*J47</f>
        <v>11.4277871831594</v>
      </c>
    </row>
    <row r="48" customFormat="false" ht="15" hidden="false" customHeight="true" outlineLevel="0" collapsed="false">
      <c r="A48" s="1" t="str">
        <f aca="false">IF(OR(A47="",A47&gt;=Dashboard!$B$55),"",A47+1)</f>
        <v/>
      </c>
      <c r="B48" s="1" t="str">
        <f aca="false">IF(A48="","",A48-DATE(YEAR(A48),1,0))</f>
        <v/>
      </c>
      <c r="C48" s="1" t="str">
        <f aca="false">IF(A48="","",0.409*SIN(2*PI()*B48/365-1.39))</f>
        <v/>
      </c>
      <c r="D48" s="1" t="str">
        <f aca="false">IF(A48="","",ACOS(-TAN(RADIANS(Dashboard!$B$53))*TAN(C48)))</f>
        <v/>
      </c>
      <c r="E48" s="1" t="str">
        <f aca="false">IF(A48="","",(24*60/PI())*0.082*(1+0.033*COS(2*PI()*B48/365))*(D48*SIN(RADIANS(Dashboard!$B$53))*SIN(C48)+COS(RADIANS(Dashboard!$B$53))*COS(C48)*SIN(D48)))</f>
        <v/>
      </c>
      <c r="F48" s="1" t="str">
        <f aca="false">IF(A48="","",24/PI()*D48)</f>
        <v/>
      </c>
      <c r="H48" s="1" t="n">
        <v>44</v>
      </c>
      <c r="I48" s="1" t="n">
        <f aca="false">0.409*SIN(2*PI()*H48/365-1.39)</f>
        <v>-0.241810374800381</v>
      </c>
      <c r="J48" s="1" t="n">
        <f aca="false">ACOS(-TAN(RADIANS(Dashboard!$B$53))*TAN(I48))</f>
        <v>1.49767416778185</v>
      </c>
      <c r="K48" s="1" t="n">
        <f aca="false">(24*60/PI())*0.082*(1+0.033*COS(2*PI()*H48/365))*(J48*SIN(RADIANS(Dashboard!$B$53))*SIN(I48)+COS(RADIANS(Dashboard!$B$53))*COS(I48)*SIN(J48))</f>
        <v>31.8127561205161</v>
      </c>
      <c r="L48" s="1" t="n">
        <f aca="false">24/PI()*J48</f>
        <v>11.4413878532891</v>
      </c>
    </row>
    <row r="49" customFormat="false" ht="15" hidden="false" customHeight="true" outlineLevel="0" collapsed="false">
      <c r="A49" s="1" t="str">
        <f aca="false">IF(OR(A48="",A48&gt;=Dashboard!$B$55),"",A48+1)</f>
        <v/>
      </c>
      <c r="B49" s="1" t="str">
        <f aca="false">IF(A49="","",A49-DATE(YEAR(A49),1,0))</f>
        <v/>
      </c>
      <c r="C49" s="1" t="str">
        <f aca="false">IF(A49="","",0.409*SIN(2*PI()*B49/365-1.39))</f>
        <v/>
      </c>
      <c r="D49" s="1" t="str">
        <f aca="false">IF(A49="","",ACOS(-TAN(RADIANS(Dashboard!$B$53))*TAN(C49)))</f>
        <v/>
      </c>
      <c r="E49" s="1" t="str">
        <f aca="false">IF(A49="","",(24*60/PI())*0.082*(1+0.033*COS(2*PI()*B49/365))*(D49*SIN(RADIANS(Dashboard!$B$53))*SIN(C49)+COS(RADIANS(Dashboard!$B$53))*COS(C49)*SIN(D49)))</f>
        <v/>
      </c>
      <c r="F49" s="1" t="str">
        <f aca="false">IF(A49="","",24/PI()*D49)</f>
        <v/>
      </c>
      <c r="H49" s="1" t="n">
        <v>45</v>
      </c>
      <c r="I49" s="1" t="n">
        <f aca="false">0.409*SIN(2*PI()*H49/365-1.39)</f>
        <v>-0.236096521020287</v>
      </c>
      <c r="J49" s="1" t="n">
        <f aca="false">ACOS(-TAN(RADIANS(Dashboard!$B$53))*TAN(I49))</f>
        <v>1.49947182299946</v>
      </c>
      <c r="K49" s="1" t="n">
        <f aca="false">(24*60/PI())*0.082*(1+0.033*COS(2*PI()*H49/365))*(J49*SIN(RADIANS(Dashboard!$B$53))*SIN(I49)+COS(RADIANS(Dashboard!$B$53))*COS(I49)*SIN(J49))</f>
        <v>31.9411811268991</v>
      </c>
      <c r="L49" s="1" t="n">
        <f aca="false">24/PI()*J49</f>
        <v>11.4551209275543</v>
      </c>
    </row>
    <row r="50" customFormat="false" ht="15" hidden="false" customHeight="true" outlineLevel="0" collapsed="false">
      <c r="A50" s="1" t="str">
        <f aca="false">IF(OR(A49="",A49&gt;=Dashboard!$B$55),"",A49+1)</f>
        <v/>
      </c>
      <c r="B50" s="1" t="str">
        <f aca="false">IF(A50="","",A50-DATE(YEAR(A50),1,0))</f>
        <v/>
      </c>
      <c r="C50" s="1" t="str">
        <f aca="false">IF(A50="","",0.409*SIN(2*PI()*B50/365-1.39))</f>
        <v/>
      </c>
      <c r="D50" s="1" t="str">
        <f aca="false">IF(A50="","",ACOS(-TAN(RADIANS(Dashboard!$B$53))*TAN(C50)))</f>
        <v/>
      </c>
      <c r="E50" s="1" t="str">
        <f aca="false">IF(A50="","",(24*60/PI())*0.082*(1+0.033*COS(2*PI()*B50/365))*(D50*SIN(RADIANS(Dashboard!$B$53))*SIN(C50)+COS(RADIANS(Dashboard!$B$53))*COS(C50)*SIN(D50)))</f>
        <v/>
      </c>
      <c r="F50" s="1" t="str">
        <f aca="false">IF(A50="","",24/PI()*D50)</f>
        <v/>
      </c>
      <c r="H50" s="1" t="n">
        <v>46</v>
      </c>
      <c r="I50" s="1" t="n">
        <f aca="false">0.409*SIN(2*PI()*H50/365-1.39)</f>
        <v>-0.230312706745634</v>
      </c>
      <c r="J50" s="1" t="n">
        <f aca="false">ACOS(-TAN(RADIANS(Dashboard!$B$53))*TAN(I50))</f>
        <v>1.50128622857503</v>
      </c>
      <c r="K50" s="1" t="n">
        <f aca="false">(24*60/PI())*0.082*(1+0.033*COS(2*PI()*H50/365))*(J50*SIN(RADIANS(Dashboard!$B$53))*SIN(I50)+COS(RADIANS(Dashboard!$B$53))*COS(I50)*SIN(J50))</f>
        <v>32.0700561262167</v>
      </c>
      <c r="L50" s="1" t="n">
        <f aca="false">24/PI()*J50</f>
        <v>11.4689819651282</v>
      </c>
    </row>
    <row r="51" customFormat="false" ht="15" hidden="false" customHeight="true" outlineLevel="0" collapsed="false">
      <c r="A51" s="1" t="str">
        <f aca="false">IF(OR(A50="",A50&gt;=Dashboard!$B$55),"",A50+1)</f>
        <v/>
      </c>
      <c r="B51" s="1" t="str">
        <f aca="false">IF(A51="","",A51-DATE(YEAR(A51),1,0))</f>
        <v/>
      </c>
      <c r="C51" s="1" t="str">
        <f aca="false">IF(A51="","",0.409*SIN(2*PI()*B51/365-1.39))</f>
        <v/>
      </c>
      <c r="D51" s="1" t="str">
        <f aca="false">IF(A51="","",ACOS(-TAN(RADIANS(Dashboard!$B$53))*TAN(C51)))</f>
        <v/>
      </c>
      <c r="E51" s="1" t="str">
        <f aca="false">IF(A51="","",(24*60/PI())*0.082*(1+0.033*COS(2*PI()*B51/365))*(D51*SIN(RADIANS(Dashboard!$B$53))*SIN(C51)+COS(RADIANS(Dashboard!$B$53))*COS(C51)*SIN(D51)))</f>
        <v/>
      </c>
      <c r="F51" s="1" t="str">
        <f aca="false">IF(A51="","",24/PI()*D51)</f>
        <v/>
      </c>
      <c r="H51" s="1" t="n">
        <v>47</v>
      </c>
      <c r="I51" s="1" t="n">
        <f aca="false">0.409*SIN(2*PI()*H51/365-1.39)</f>
        <v>-0.224460645845417</v>
      </c>
      <c r="J51" s="1" t="n">
        <f aca="false">ACOS(-TAN(RADIANS(Dashboard!$B$53))*TAN(I51))</f>
        <v>1.5031168097523</v>
      </c>
      <c r="K51" s="1" t="n">
        <f aca="false">(24*60/PI())*0.082*(1+0.033*COS(2*PI()*H51/365))*(J51*SIN(RADIANS(Dashboard!$B$53))*SIN(I51)+COS(RADIANS(Dashboard!$B$53))*COS(I51)*SIN(J51))</f>
        <v>32.1992998130667</v>
      </c>
      <c r="L51" s="1" t="n">
        <f aca="false">24/PI()*J51</f>
        <v>11.4829665751967</v>
      </c>
    </row>
    <row r="52" customFormat="false" ht="15" hidden="false" customHeight="true" outlineLevel="0" collapsed="false">
      <c r="A52" s="1" t="str">
        <f aca="false">IF(OR(A51="",A51&gt;=Dashboard!$B$55),"",A51+1)</f>
        <v/>
      </c>
      <c r="B52" s="1" t="str">
        <f aca="false">IF(A52="","",A52-DATE(YEAR(A52),1,0))</f>
        <v/>
      </c>
      <c r="C52" s="1" t="str">
        <f aca="false">IF(A52="","",0.409*SIN(2*PI()*B52/365-1.39))</f>
        <v/>
      </c>
      <c r="D52" s="1" t="str">
        <f aca="false">IF(A52="","",ACOS(-TAN(RADIANS(Dashboard!$B$53))*TAN(C52)))</f>
        <v/>
      </c>
      <c r="E52" s="1" t="str">
        <f aca="false">IF(A52="","",(24*60/PI())*0.082*(1+0.033*COS(2*PI()*B52/365))*(D52*SIN(RADIANS(Dashboard!$B$53))*SIN(C52)+COS(RADIANS(Dashboard!$B$53))*COS(C52)*SIN(D52)))</f>
        <v/>
      </c>
      <c r="F52" s="1" t="str">
        <f aca="false">IF(A52="","",24/PI()*D52)</f>
        <v/>
      </c>
      <c r="H52" s="1" t="n">
        <v>48</v>
      </c>
      <c r="I52" s="1" t="n">
        <f aca="false">0.409*SIN(2*PI()*H52/365-1.39)</f>
        <v>-0.218542072411578</v>
      </c>
      <c r="J52" s="1" t="n">
        <f aca="false">ACOS(-TAN(RADIANS(Dashboard!$B$53))*TAN(I52))</f>
        <v>1.50496299849424</v>
      </c>
      <c r="K52" s="1" t="n">
        <f aca="false">(24*60/PI())*0.082*(1+0.033*COS(2*PI()*H52/365))*(J52*SIN(RADIANS(Dashboard!$B$53))*SIN(I52)+COS(RADIANS(Dashboard!$B$53))*COS(I52)*SIN(J52))</f>
        <v>32.3288310418329</v>
      </c>
      <c r="L52" s="1" t="n">
        <f aca="false">24/PI()*J52</f>
        <v>11.4970704182765</v>
      </c>
    </row>
    <row r="53" customFormat="false" ht="15" hidden="false" customHeight="true" outlineLevel="0" collapsed="false">
      <c r="A53" s="1" t="str">
        <f aca="false">IF(OR(A52="",A52&gt;=Dashboard!$B$55),"",A52+1)</f>
        <v/>
      </c>
      <c r="B53" s="1" t="str">
        <f aca="false">IF(A53="","",A53-DATE(YEAR(A53),1,0))</f>
        <v/>
      </c>
      <c r="C53" s="1" t="str">
        <f aca="false">IF(A53="","",0.409*SIN(2*PI()*B53/365-1.39))</f>
        <v/>
      </c>
      <c r="D53" s="1" t="str">
        <f aca="false">IF(A53="","",ACOS(-TAN(RADIANS(Dashboard!$B$53))*TAN(C53)))</f>
        <v/>
      </c>
      <c r="E53" s="1" t="str">
        <f aca="false">IF(A53="","",(24*60/PI())*0.082*(1+0.033*COS(2*PI()*B53/365))*(D53*SIN(RADIANS(Dashboard!$B$53))*SIN(C53)+COS(RADIANS(Dashboard!$B$53))*COS(C53)*SIN(D53)))</f>
        <v/>
      </c>
      <c r="F53" s="1" t="str">
        <f aca="false">IF(A53="","",24/PI()*D53)</f>
        <v/>
      </c>
      <c r="H53" s="1" t="n">
        <v>49</v>
      </c>
      <c r="I53" s="1" t="n">
        <f aca="false">0.409*SIN(2*PI()*H53/365-1.39)</f>
        <v>-0.21255874024516</v>
      </c>
      <c r="J53" s="1" t="n">
        <f aca="false">ACOS(-TAN(RADIANS(Dashboard!$B$53))*TAN(I53))</f>
        <v>1.50682423362565</v>
      </c>
      <c r="K53" s="1" t="n">
        <f aca="false">(24*60/PI())*0.082*(1+0.033*COS(2*PI()*H53/365))*(J53*SIN(RADIANS(Dashboard!$B$53))*SIN(I53)+COS(RADIANS(Dashboard!$B$53))*COS(I53)*SIN(J53))</f>
        <v>32.4585689067021</v>
      </c>
      <c r="L53" s="1" t="n">
        <f aca="false">24/PI()*J53</f>
        <v>11.5112892073046</v>
      </c>
    </row>
    <row r="54" customFormat="false" ht="15" hidden="false" customHeight="true" outlineLevel="0" collapsed="false">
      <c r="A54" s="1" t="str">
        <f aca="false">IF(OR(A53="",A53&gt;=Dashboard!$B$55),"",A53+1)</f>
        <v/>
      </c>
      <c r="B54" s="1" t="str">
        <f aca="false">IF(A54="","",A54-DATE(YEAR(A54),1,0))</f>
        <v/>
      </c>
      <c r="C54" s="1" t="str">
        <f aca="false">IF(A54="","",0.409*SIN(2*PI()*B54/365-1.39))</f>
        <v/>
      </c>
      <c r="D54" s="1" t="str">
        <f aca="false">IF(A54="","",ACOS(-TAN(RADIANS(Dashboard!$B$53))*TAN(C54)))</f>
        <v/>
      </c>
      <c r="E54" s="1" t="str">
        <f aca="false">IF(A54="","",(24*60/PI())*0.082*(1+0.033*COS(2*PI()*B54/365))*(D54*SIN(RADIANS(Dashboard!$B$53))*SIN(C54)+COS(RADIANS(Dashboard!$B$53))*COS(C54)*SIN(D54)))</f>
        <v/>
      </c>
      <c r="F54" s="1" t="str">
        <f aca="false">IF(A54="","",24/PI()*D54)</f>
        <v/>
      </c>
      <c r="H54" s="1" t="n">
        <v>50</v>
      </c>
      <c r="I54" s="1" t="n">
        <f aca="false">0.409*SIN(2*PI()*H54/365-1.39)</f>
        <v>-0.206512422336614</v>
      </c>
      <c r="J54" s="1" t="n">
        <f aca="false">ACOS(-TAN(RADIANS(Dashboard!$B$53))*TAN(I54))</f>
        <v>1.50869996094634</v>
      </c>
      <c r="K54" s="1" t="n">
        <f aca="false">(24*60/PI())*0.082*(1+0.033*COS(2*PI()*H54/365))*(J54*SIN(RADIANS(Dashboard!$B$53))*SIN(I54)+COS(RADIANS(Dashboard!$B$53))*COS(I54)*SIN(J54))</f>
        <v>32.5884328218253</v>
      </c>
      <c r="L54" s="1" t="n">
        <f aca="false">24/PI()*J54</f>
        <v>11.5256187085036</v>
      </c>
    </row>
    <row r="55" customFormat="false" ht="15" hidden="false" customHeight="true" outlineLevel="0" collapsed="false">
      <c r="A55" s="1" t="str">
        <f aca="false">IF(OR(A54="",A54&gt;=Dashboard!$B$55),"",A54+1)</f>
        <v/>
      </c>
      <c r="B55" s="1" t="str">
        <f aca="false">IF(A55="","",A55-DATE(YEAR(A55),1,0))</f>
        <v/>
      </c>
      <c r="C55" s="1" t="str">
        <f aca="false">IF(A55="","",0.409*SIN(2*PI()*B55/365-1.39))</f>
        <v/>
      </c>
      <c r="D55" s="1" t="str">
        <f aca="false">IF(A55="","",ACOS(-TAN(RADIANS(Dashboard!$B$53))*TAN(C55)))</f>
        <v/>
      </c>
      <c r="E55" s="1" t="str">
        <f aca="false">IF(A55="","",(24*60/PI())*0.082*(1+0.033*COS(2*PI()*B55/365))*(D55*SIN(RADIANS(Dashboard!$B$53))*SIN(C55)+COS(RADIANS(Dashboard!$B$53))*COS(C55)*SIN(D55)))</f>
        <v/>
      </c>
      <c r="F55" s="1" t="str">
        <f aca="false">IF(A55="","",24/PI()*D55)</f>
        <v/>
      </c>
      <c r="H55" s="1" t="n">
        <v>51</v>
      </c>
      <c r="I55" s="1" t="n">
        <f aca="false">0.409*SIN(2*PI()*H55/365-1.39)</f>
        <v>-0.200404910340426</v>
      </c>
      <c r="J55" s="1" t="n">
        <f aca="false">ACOS(-TAN(RADIANS(Dashboard!$B$53))*TAN(I55))</f>
        <v>1.51058963331581</v>
      </c>
      <c r="K55" s="1" t="n">
        <f aca="false">(24*60/PI())*0.082*(1+0.033*COS(2*PI()*H55/365))*(J55*SIN(RADIANS(Dashboard!$B$53))*SIN(I55)+COS(RADIANS(Dashboard!$B$53))*COS(I55)*SIN(J55))</f>
        <v>32.7183426015063</v>
      </c>
      <c r="L55" s="1" t="n">
        <f aca="false">24/PI()*J55</f>
        <v>11.5400547420281</v>
      </c>
    </row>
    <row r="56" customFormat="false" ht="15" hidden="false" customHeight="true" outlineLevel="0" collapsed="false">
      <c r="A56" s="1" t="str">
        <f aca="false">IF(OR(A55="",A55&gt;=Dashboard!$B$55),"",A55+1)</f>
        <v/>
      </c>
      <c r="B56" s="1" t="str">
        <f aca="false">IF(A56="","",A56-DATE(YEAR(A56),1,0))</f>
        <v/>
      </c>
      <c r="C56" s="1" t="str">
        <f aca="false">IF(A56="","",0.409*SIN(2*PI()*B56/365-1.39))</f>
        <v/>
      </c>
      <c r="D56" s="1" t="str">
        <f aca="false">IF(A56="","",ACOS(-TAN(RADIANS(Dashboard!$B$53))*TAN(C56)))</f>
        <v/>
      </c>
      <c r="E56" s="1" t="str">
        <f aca="false">IF(A56="","",(24*60/PI())*0.082*(1+0.033*COS(2*PI()*B56/365))*(D56*SIN(RADIANS(Dashboard!$B$53))*SIN(C56)+COS(RADIANS(Dashboard!$B$53))*COS(C56)*SIN(D56)))</f>
        <v/>
      </c>
      <c r="F56" s="1" t="str">
        <f aca="false">IF(A56="","",24/PI()*D56)</f>
        <v/>
      </c>
      <c r="H56" s="1" t="n">
        <v>52</v>
      </c>
      <c r="I56" s="1" t="n">
        <f aca="false">0.409*SIN(2*PI()*H56/365-1.39)</f>
        <v>-0.194238014044212</v>
      </c>
      <c r="J56" s="1" t="n">
        <f aca="false">ACOS(-TAN(RADIANS(Dashboard!$B$53))*TAN(I56))</f>
        <v>1.51249271070993</v>
      </c>
      <c r="K56" s="1" t="n">
        <f aca="false">(24*60/PI())*0.082*(1+0.033*COS(2*PI()*H56/365))*(J56*SIN(RADIANS(Dashboard!$B$53))*SIN(I56)+COS(RADIANS(Dashboard!$B$53))*COS(I56)*SIN(J56))</f>
        <v>32.8482185402974</v>
      </c>
      <c r="L56" s="1" t="n">
        <f aca="false">24/PI()*J56</f>
        <v>11.5545931823974</v>
      </c>
    </row>
    <row r="57" customFormat="false" ht="15" hidden="false" customHeight="true" outlineLevel="0" collapsed="false">
      <c r="A57" s="1" t="str">
        <f aca="false">IF(OR(A56="",A56&gt;=Dashboard!$B$55),"",A56+1)</f>
        <v/>
      </c>
      <c r="B57" s="1" t="str">
        <f aca="false">IF(A57="","",A57-DATE(YEAR(A57),1,0))</f>
        <v/>
      </c>
      <c r="C57" s="1" t="str">
        <f aca="false">IF(A57="","",0.409*SIN(2*PI()*B57/365-1.39))</f>
        <v/>
      </c>
      <c r="D57" s="1" t="str">
        <f aca="false">IF(A57="","",ACOS(-TAN(RADIANS(Dashboard!$B$53))*TAN(C57)))</f>
        <v/>
      </c>
      <c r="E57" s="1" t="str">
        <f aca="false">IF(A57="","",(24*60/PI())*0.082*(1+0.033*COS(2*PI()*B57/365))*(D57*SIN(RADIANS(Dashboard!$B$53))*SIN(C57)+COS(RADIANS(Dashboard!$B$53))*COS(C57)*SIN(D57)))</f>
        <v/>
      </c>
      <c r="F57" s="1" t="str">
        <f aca="false">IF(A57="","",24/PI()*D57)</f>
        <v/>
      </c>
      <c r="H57" s="1" t="n">
        <v>53</v>
      </c>
      <c r="I57" s="1" t="n">
        <f aca="false">0.409*SIN(2*PI()*H57/365-1.39)</f>
        <v>-0.188013560832438</v>
      </c>
      <c r="J57" s="1" t="n">
        <f aca="false">ACOS(-TAN(RADIANS(Dashboard!$B$53))*TAN(I57))</f>
        <v>1.51440866025056</v>
      </c>
      <c r="K57" s="1" t="n">
        <f aca="false">(24*60/PI())*0.082*(1+0.033*COS(2*PI()*H57/365))*(J57*SIN(RADIANS(Dashboard!$B$53))*SIN(I57)+COS(RADIANS(Dashboard!$B$53))*COS(I57)*SIN(J57))</f>
        <v>32.9779814928797</v>
      </c>
      <c r="L57" s="1" t="n">
        <f aca="false">24/PI()*J57</f>
        <v>11.5692299587224</v>
      </c>
    </row>
    <row r="58" customFormat="false" ht="15" hidden="false" customHeight="true" outlineLevel="0" collapsed="false">
      <c r="A58" s="1" t="str">
        <f aca="false">IF(OR(A57="",A57&gt;=Dashboard!$B$55),"",A57+1)</f>
        <v/>
      </c>
      <c r="B58" s="1" t="str">
        <f aca="false">IF(A58="","",A58-DATE(YEAR(A58),1,0))</f>
        <v/>
      </c>
      <c r="C58" s="1" t="str">
        <f aca="false">IF(A58="","",0.409*SIN(2*PI()*B58/365-1.39))</f>
        <v/>
      </c>
      <c r="D58" s="1" t="str">
        <f aca="false">IF(A58="","",ACOS(-TAN(RADIANS(Dashboard!$B$53))*TAN(C58)))</f>
        <v/>
      </c>
      <c r="E58" s="1" t="str">
        <f aca="false">IF(A58="","",(24*60/PI())*0.082*(1+0.033*COS(2*PI()*B58/365))*(D58*SIN(RADIANS(Dashboard!$B$53))*SIN(C58)+COS(RADIANS(Dashboard!$B$53))*COS(C58)*SIN(D58)))</f>
        <v/>
      </c>
      <c r="F58" s="1" t="str">
        <f aca="false">IF(A58="","",24/PI()*D58)</f>
        <v/>
      </c>
      <c r="H58" s="1" t="n">
        <v>54</v>
      </c>
      <c r="I58" s="1" t="n">
        <f aca="false">0.409*SIN(2*PI()*H58/365-1.39)</f>
        <v>-0.181733395144923</v>
      </c>
      <c r="J58" s="1" t="n">
        <f aca="false">ACOS(-TAN(RADIANS(Dashboard!$B$53))*TAN(I58))</f>
        <v>1.51633695620892</v>
      </c>
      <c r="K58" s="1" t="n">
        <f aca="false">(24*60/PI())*0.082*(1+0.033*COS(2*PI()*H58/365))*(J58*SIN(RADIANS(Dashboard!$B$53))*SIN(I58)+COS(RADIANS(Dashboard!$B$53))*COS(I58)*SIN(J58))</f>
        <v>33.1075529536043</v>
      </c>
      <c r="L58" s="1" t="n">
        <f aca="false">24/PI()*J58</f>
        <v>11.5839610547313</v>
      </c>
    </row>
    <row r="59" customFormat="false" ht="15" hidden="false" customHeight="true" outlineLevel="0" collapsed="false">
      <c r="A59" s="1" t="str">
        <f aca="false">IF(OR(A58="",A58&gt;=Dashboard!$B$55),"",A58+1)</f>
        <v/>
      </c>
      <c r="B59" s="1" t="str">
        <f aca="false">IF(A59="","",A59-DATE(YEAR(A59),1,0))</f>
        <v/>
      </c>
      <c r="C59" s="1" t="str">
        <f aca="false">IF(A59="","",0.409*SIN(2*PI()*B59/365-1.39))</f>
        <v/>
      </c>
      <c r="D59" s="1" t="str">
        <f aca="false">IF(A59="","",ACOS(-TAN(RADIANS(Dashboard!$B$53))*TAN(C59)))</f>
        <v/>
      </c>
      <c r="E59" s="1" t="str">
        <f aca="false">IF(A59="","",(24*60/PI())*0.082*(1+0.033*COS(2*PI()*B59/365))*(D59*SIN(RADIANS(Dashboard!$B$53))*SIN(C59)+COS(RADIANS(Dashboard!$B$53))*COS(C59)*SIN(D59)))</f>
        <v/>
      </c>
      <c r="F59" s="1" t="str">
        <f aca="false">IF(A59="","",24/PI()*D59)</f>
        <v/>
      </c>
      <c r="H59" s="1" t="n">
        <v>55</v>
      </c>
      <c r="I59" s="1" t="n">
        <f aca="false">0.409*SIN(2*PI()*H59/365-1.39)</f>
        <v>-0.1753993779303</v>
      </c>
      <c r="J59" s="1" t="n">
        <f aca="false">ACOS(-TAN(RADIANS(Dashboard!$B$53))*TAN(I59))</f>
        <v>1.51827707998351</v>
      </c>
      <c r="K59" s="1" t="n">
        <f aca="false">(24*60/PI())*0.082*(1+0.033*COS(2*PI()*H59/365))*(J59*SIN(RADIANS(Dashboard!$B$53))*SIN(I59)+COS(RADIANS(Dashboard!$B$53))*COS(I59)*SIN(J59))</f>
        <v>33.2368551355711</v>
      </c>
      <c r="L59" s="1" t="n">
        <f aca="false">24/PI()*J59</f>
        <v>11.5987825086002</v>
      </c>
    </row>
    <row r="60" customFormat="false" ht="15" hidden="false" customHeight="true" outlineLevel="0" collapsed="false">
      <c r="A60" s="1" t="str">
        <f aca="false">IF(OR(A59="",A59&gt;=Dashboard!$B$55),"",A59+1)</f>
        <v/>
      </c>
      <c r="B60" s="1" t="str">
        <f aca="false">IF(A60="","",A60-DATE(YEAR(A60),1,0))</f>
        <v/>
      </c>
      <c r="C60" s="1" t="str">
        <f aca="false">IF(A60="","",0.409*SIN(2*PI()*B60/365-1.39))</f>
        <v/>
      </c>
      <c r="D60" s="1" t="str">
        <f aca="false">IF(A60="","",ACOS(-TAN(RADIANS(Dashboard!$B$53))*TAN(C60)))</f>
        <v/>
      </c>
      <c r="E60" s="1" t="str">
        <f aca="false">IF(A60="","",(24*60/PI())*0.082*(1+0.033*COS(2*PI()*B60/365))*(D60*SIN(RADIANS(Dashboard!$B$53))*SIN(C60)+COS(RADIANS(Dashboard!$B$53))*COS(C60)*SIN(D60)))</f>
        <v/>
      </c>
      <c r="F60" s="1" t="str">
        <f aca="false">IF(A60="","",24/PI()*D60)</f>
        <v/>
      </c>
      <c r="H60" s="1" t="n">
        <v>56</v>
      </c>
      <c r="I60" s="1" t="n">
        <f aca="false">0.409*SIN(2*PI()*H60/365-1.39)</f>
        <v>-0.169013386094567</v>
      </c>
      <c r="J60" s="1" t="n">
        <f aca="false">ACOS(-TAN(RADIANS(Dashboard!$B$53))*TAN(I60))</f>
        <v>1.52022852005353</v>
      </c>
      <c r="K60" s="1" t="n">
        <f aca="false">(24*60/PI())*0.082*(1+0.033*COS(2*PI()*H60/365))*(J60*SIN(RADIANS(Dashboard!$B$53))*SIN(I60)+COS(RADIANS(Dashboard!$B$53))*COS(I60)*SIN(J60))</f>
        <v>33.3658110491155</v>
      </c>
      <c r="L60" s="1" t="n">
        <f aca="false">24/PI()*J60</f>
        <v>11.6136904125982</v>
      </c>
    </row>
    <row r="61" customFormat="false" ht="15" hidden="false" customHeight="true" outlineLevel="0" collapsed="false">
      <c r="A61" s="1" t="str">
        <f aca="false">IF(OR(A60="",A60&gt;=Dashboard!$B$55),"",A60+1)</f>
        <v/>
      </c>
      <c r="B61" s="1" t="str">
        <f aca="false">IF(A61="","",A61-DATE(YEAR(A61),1,0))</f>
        <v/>
      </c>
      <c r="C61" s="1" t="str">
        <f aca="false">IF(A61="","",0.409*SIN(2*PI()*B61/365-1.39))</f>
        <v/>
      </c>
      <c r="D61" s="1" t="str">
        <f aca="false">IF(A61="","",ACOS(-TAN(RADIANS(Dashboard!$B$53))*TAN(C61)))</f>
        <v/>
      </c>
      <c r="E61" s="1" t="str">
        <f aca="false">IF(A61="","",(24*60/PI())*0.082*(1+0.033*COS(2*PI()*B61/365))*(D61*SIN(RADIANS(Dashboard!$B$53))*SIN(C61)+COS(RADIANS(Dashboard!$B$53))*COS(C61)*SIN(D61)))</f>
        <v/>
      </c>
      <c r="F61" s="1" t="str">
        <f aca="false">IF(A61="","",24/PI()*D61)</f>
        <v/>
      </c>
      <c r="H61" s="1" t="n">
        <v>57</v>
      </c>
      <c r="I61" s="1" t="n">
        <f aca="false">0.409*SIN(2*PI()*H61/365-1.39)</f>
        <v>-0.162577311944926</v>
      </c>
      <c r="J61" s="1" t="n">
        <f aca="false">ACOS(-TAN(RADIANS(Dashboard!$B$53))*TAN(I61))</f>
        <v>1.52219077190863</v>
      </c>
      <c r="K61" s="1" t="n">
        <f aca="false">(24*60/PI())*0.082*(1+0.033*COS(2*PI()*H61/365))*(J61*SIN(RADIANS(Dashboard!$B$53))*SIN(I61)+COS(RADIANS(Dashboard!$B$53))*COS(I61)*SIN(J61))</f>
        <v>33.4943445795794</v>
      </c>
      <c r="L61" s="1" t="n">
        <f aca="false">24/PI()*J61</f>
        <v>11.62868091255</v>
      </c>
    </row>
    <row r="62" customFormat="false" ht="15" hidden="false" customHeight="true" outlineLevel="0" collapsed="false">
      <c r="A62" s="1" t="str">
        <f aca="false">IF(OR(A61="",A61&gt;=Dashboard!$B$55),"",A61+1)</f>
        <v/>
      </c>
      <c r="B62" s="1" t="str">
        <f aca="false">IF(A62="","",A62-DATE(YEAR(A62),1,0))</f>
        <v/>
      </c>
      <c r="C62" s="1" t="str">
        <f aca="false">IF(A62="","",0.409*SIN(2*PI()*B62/365-1.39))</f>
        <v/>
      </c>
      <c r="D62" s="1" t="str">
        <f aca="false">IF(A62="","",ACOS(-TAN(RADIANS(Dashboard!$B$53))*TAN(C62)))</f>
        <v/>
      </c>
      <c r="E62" s="1" t="str">
        <f aca="false">IF(A62="","",(24*60/PI())*0.082*(1+0.033*COS(2*PI()*B62/365))*(D62*SIN(RADIANS(Dashboard!$B$53))*SIN(C62)+COS(RADIANS(Dashboard!$B$53))*COS(C62)*SIN(D62)))</f>
        <v/>
      </c>
      <c r="F62" s="1" t="str">
        <f aca="false">IF(A62="","",24/PI()*D62)</f>
        <v/>
      </c>
      <c r="H62" s="1" t="n">
        <v>58</v>
      </c>
      <c r="I62" s="1" t="n">
        <f aca="false">0.409*SIN(2*PI()*H62/365-1.39)</f>
        <v>-0.156093062629051</v>
      </c>
      <c r="J62" s="1" t="n">
        <f aca="false">ACOS(-TAN(RADIANS(Dashboard!$B$53))*TAN(I62))</f>
        <v>1.52416333795591</v>
      </c>
      <c r="K62" s="1" t="n">
        <f aca="false">(24*60/PI())*0.082*(1+0.033*COS(2*PI()*H62/365))*(J62*SIN(RADIANS(Dashboard!$B$53))*SIN(I62)+COS(RADIANS(Dashboard!$B$53))*COS(I62)*SIN(J62))</f>
        <v>33.6223805642376</v>
      </c>
      <c r="L62" s="1" t="n">
        <f aca="false">24/PI()*J62</f>
        <v>11.6437502071261</v>
      </c>
    </row>
    <row r="63" customFormat="false" ht="15" hidden="false" customHeight="true" outlineLevel="0" collapsed="false">
      <c r="A63" s="1" t="str">
        <f aca="false">IF(OR(A62="",A62&gt;=Dashboard!$B$55),"",A62+1)</f>
        <v/>
      </c>
      <c r="B63" s="1" t="str">
        <f aca="false">IF(A63="","",A63-DATE(YEAR(A63),1,0))</f>
        <v/>
      </c>
      <c r="C63" s="1" t="str">
        <f aca="false">IF(A63="","",0.409*SIN(2*PI()*B63/365-1.39))</f>
        <v/>
      </c>
      <c r="D63" s="1" t="str">
        <f aca="false">IF(A63="","",ACOS(-TAN(RADIANS(Dashboard!$B$53))*TAN(C63)))</f>
        <v/>
      </c>
      <c r="E63" s="1" t="str">
        <f aca="false">IF(A63="","",(24*60/PI())*0.082*(1+0.033*COS(2*PI()*B63/365))*(D63*SIN(RADIANS(Dashboard!$B$53))*SIN(C63)+COS(RADIANS(Dashboard!$B$53))*COS(C63)*SIN(D63)))</f>
        <v/>
      </c>
      <c r="F63" s="1" t="str">
        <f aca="false">IF(A63="","",24/PI()*D63)</f>
        <v/>
      </c>
      <c r="H63" s="1" t="n">
        <v>59</v>
      </c>
      <c r="I63" s="1" t="n">
        <f aca="false">0.409*SIN(2*PI()*H63/365-1.39)</f>
        <v>-0.149562559569954</v>
      </c>
      <c r="J63" s="1" t="n">
        <f aca="false">ACOS(-TAN(RADIANS(Dashboard!$B$53))*TAN(I63))</f>
        <v>1.52614572740525</v>
      </c>
      <c r="K63" s="1" t="n">
        <f aca="false">(24*60/PI())*0.082*(1+0.033*COS(2*PI()*H63/365))*(J63*SIN(RADIANS(Dashboard!$B$53))*SIN(I63)+COS(RADIANS(Dashboard!$B$53))*COS(I63)*SIN(J63))</f>
        <v>33.7498448682513</v>
      </c>
      <c r="L63" s="1" t="n">
        <f aca="false">24/PI()*J63</f>
        <v>11.6588945469658</v>
      </c>
    </row>
    <row r="64" customFormat="false" ht="15" hidden="false" customHeight="true" outlineLevel="0" collapsed="false">
      <c r="A64" s="1" t="str">
        <f aca="false">IF(OR(A63="",A63&gt;=Dashboard!$B$55),"",A63+1)</f>
        <v/>
      </c>
      <c r="B64" s="1" t="str">
        <f aca="false">IF(A64="","",A64-DATE(YEAR(A64),1,0))</f>
        <v/>
      </c>
      <c r="C64" s="1" t="str">
        <f aca="false">IF(A64="","",0.409*SIN(2*PI()*B64/365-1.39))</f>
        <v/>
      </c>
      <c r="D64" s="1" t="str">
        <f aca="false">IF(A64="","",ACOS(-TAN(RADIANS(Dashboard!$B$53))*TAN(C64)))</f>
        <v/>
      </c>
      <c r="E64" s="1" t="str">
        <f aca="false">IF(A64="","",(24*60/PI())*0.082*(1+0.033*COS(2*PI()*B64/365))*(D64*SIN(RADIANS(Dashboard!$B$53))*SIN(C64)+COS(RADIANS(Dashboard!$B$53))*COS(C64)*SIN(D64)))</f>
        <v/>
      </c>
      <c r="F64" s="1" t="str">
        <f aca="false">IF(A64="","",24/PI()*D64)</f>
        <v/>
      </c>
      <c r="H64" s="1" t="n">
        <v>60</v>
      </c>
      <c r="I64" s="1" t="n">
        <f aca="false">0.409*SIN(2*PI()*H64/365-1.39)</f>
        <v>-0.142987737896633</v>
      </c>
      <c r="J64" s="1" t="n">
        <f aca="false">ACOS(-TAN(RADIANS(Dashboard!$B$53))*TAN(I64))</f>
        <v>1.52813745613357</v>
      </c>
      <c r="K64" s="1" t="n">
        <f aca="false">(24*60/PI())*0.082*(1+0.033*COS(2*PI()*H64/365))*(J64*SIN(RADIANS(Dashboard!$B$53))*SIN(I64)+COS(RADIANS(Dashboard!$B$53))*COS(I64)*SIN(J64))</f>
        <v>33.8766644595226</v>
      </c>
      <c r="L64" s="1" t="n">
        <f aca="false">24/PI()*J64</f>
        <v>11.6741102336415</v>
      </c>
    </row>
    <row r="65" customFormat="false" ht="15" hidden="false" customHeight="true" outlineLevel="0" collapsed="false">
      <c r="A65" s="1" t="str">
        <f aca="false">IF(OR(A64="",A64&gt;=Dashboard!$B$55),"",A64+1)</f>
        <v/>
      </c>
      <c r="B65" s="1" t="str">
        <f aca="false">IF(A65="","",A65-DATE(YEAR(A65),1,0))</f>
        <v/>
      </c>
      <c r="C65" s="1" t="str">
        <f aca="false">IF(A65="","",0.409*SIN(2*PI()*B65/365-1.39))</f>
        <v/>
      </c>
      <c r="D65" s="1" t="str">
        <f aca="false">IF(A65="","",ACOS(-TAN(RADIANS(Dashboard!$B$53))*TAN(C65)))</f>
        <v/>
      </c>
      <c r="E65" s="1" t="str">
        <f aca="false">IF(A65="","",(24*60/PI())*0.082*(1+0.033*COS(2*PI()*B65/365))*(D65*SIN(RADIANS(Dashboard!$B$53))*SIN(C65)+COS(RADIANS(Dashboard!$B$53))*COS(C65)*SIN(D65)))</f>
        <v/>
      </c>
      <c r="F65" s="1" t="str">
        <f aca="false">IF(A65="","",24/PI()*D65)</f>
        <v/>
      </c>
      <c r="H65" s="1" t="n">
        <v>61</v>
      </c>
      <c r="I65" s="1" t="n">
        <f aca="false">0.409*SIN(2*PI()*H65/365-1.39)</f>
        <v>-0.136370545870644</v>
      </c>
      <c r="J65" s="1" t="n">
        <f aca="false">ACOS(-TAN(RADIANS(Dashboard!$B$53))*TAN(I65))</f>
        <v>1.5301380465294</v>
      </c>
      <c r="K65" s="1" t="n">
        <f aca="false">(24*60/PI())*0.082*(1+0.033*COS(2*PI()*H65/365))*(J65*SIN(RADIANS(Dashboard!$B$53))*SIN(I65)+COS(RADIANS(Dashboard!$B$53))*COS(I65)*SIN(J65))</f>
        <v>34.0027674823234</v>
      </c>
      <c r="L65" s="1" t="n">
        <f aca="false">24/PI()*J65</f>
        <v>11.6893936184702</v>
      </c>
    </row>
    <row r="66" customFormat="false" ht="15" hidden="false" customHeight="true" outlineLevel="0" collapsed="false">
      <c r="A66" s="1" t="str">
        <f aca="false">IF(OR(A65="",A65&gt;=Dashboard!$B$55),"",A65+1)</f>
        <v/>
      </c>
      <c r="B66" s="1" t="str">
        <f aca="false">IF(A66="","",A66-DATE(YEAR(A66),1,0))</f>
        <v/>
      </c>
      <c r="C66" s="1" t="str">
        <f aca="false">IF(A66="","",0.409*SIN(2*PI()*B66/365-1.39))</f>
        <v/>
      </c>
      <c r="D66" s="1" t="str">
        <f aca="false">IF(A66="","",ACOS(-TAN(RADIANS(Dashboard!$B$53))*TAN(C66)))</f>
        <v/>
      </c>
      <c r="E66" s="1" t="str">
        <f aca="false">IF(A66="","",(24*60/PI())*0.082*(1+0.033*COS(2*PI()*B66/365))*(D66*SIN(RADIANS(Dashboard!$B$53))*SIN(C66)+COS(RADIANS(Dashboard!$B$53))*COS(C66)*SIN(D66)))</f>
        <v/>
      </c>
      <c r="F66" s="1" t="str">
        <f aca="false">IF(A66="","",24/PI()*D66)</f>
        <v/>
      </c>
      <c r="H66" s="1" t="n">
        <v>62</v>
      </c>
      <c r="I66" s="1" t="n">
        <f aca="false">0.409*SIN(2*PI()*H66/365-1.39)</f>
        <v>-0.129712944308797</v>
      </c>
      <c r="J66" s="1" t="n">
        <f aca="false">ACOS(-TAN(RADIANS(Dashboard!$B$53))*TAN(I66))</f>
        <v>1.53214702731827</v>
      </c>
      <c r="K66" s="1" t="n">
        <f aca="false">(24*60/PI())*0.082*(1+0.033*COS(2*PI()*H66/365))*(J66*SIN(RADIANS(Dashboard!$B$53))*SIN(I66)+COS(RADIANS(Dashboard!$B$53))*COS(I66)*SIN(J66))</f>
        <v>34.1280833295708</v>
      </c>
      <c r="L66" s="1" t="n">
        <f aca="false">24/PI()*J66</f>
        <v>11.7047411011803</v>
      </c>
    </row>
    <row r="67" customFormat="false" ht="15" hidden="false" customHeight="true" outlineLevel="0" collapsed="false">
      <c r="A67" s="1" t="str">
        <f aca="false">IF(OR(A66="",A66&gt;=Dashboard!$B$55),"",A66+1)</f>
        <v/>
      </c>
      <c r="B67" s="1" t="str">
        <f aca="false">IF(A67="","",A67-DATE(YEAR(A67),1,0))</f>
        <v/>
      </c>
      <c r="C67" s="1" t="str">
        <f aca="false">IF(A67="","",0.409*SIN(2*PI()*B67/365-1.39))</f>
        <v/>
      </c>
      <c r="D67" s="1" t="str">
        <f aca="false">IF(A67="","",ACOS(-TAN(RADIANS(Dashboard!$B$53))*TAN(C67)))</f>
        <v/>
      </c>
      <c r="E67" s="1" t="str">
        <f aca="false">IF(A67="","",(24*60/PI())*0.082*(1+0.033*COS(2*PI()*B67/365))*(D67*SIN(RADIANS(Dashboard!$B$53))*SIN(C67)+COS(RADIANS(Dashboard!$B$53))*COS(C67)*SIN(D67)))</f>
        <v/>
      </c>
      <c r="F67" s="1" t="str">
        <f aca="false">IF(A67="","",24/PI()*D67)</f>
        <v/>
      </c>
      <c r="H67" s="1" t="n">
        <v>63</v>
      </c>
      <c r="I67" s="1" t="n">
        <f aca="false">0.409*SIN(2*PI()*H67/365-1.39)</f>
        <v>-0.123016906002116</v>
      </c>
      <c r="J67" s="1" t="n">
        <f aca="false">ACOS(-TAN(RADIANS(Dashboard!$B$53))*TAN(I67))</f>
        <v>1.53416393337023</v>
      </c>
      <c r="K67" s="1" t="n">
        <f aca="false">(24*60/PI())*0.082*(1+0.033*COS(2*PI()*H67/365))*(J67*SIN(RADIANS(Dashboard!$B$53))*SIN(I67)+COS(RADIANS(Dashboard!$B$53))*COS(I67)*SIN(J67))</f>
        <v>34.2525427136272</v>
      </c>
      <c r="L67" s="1" t="n">
        <f aca="false">24/PI()*J67</f>
        <v>11.7201491284405</v>
      </c>
    </row>
    <row r="68" customFormat="false" ht="15" hidden="false" customHeight="true" outlineLevel="0" collapsed="false">
      <c r="A68" s="1" t="str">
        <f aca="false">IF(OR(A67="",A67&gt;=Dashboard!$B$55),"",A67+1)</f>
        <v/>
      </c>
      <c r="B68" s="1" t="str">
        <f aca="false">IF(A68="","",A68-DATE(YEAR(A68),1,0))</f>
        <v/>
      </c>
      <c r="C68" s="1" t="str">
        <f aca="false">IF(A68="","",0.409*SIN(2*PI()*B68/365-1.39))</f>
        <v/>
      </c>
      <c r="D68" s="1" t="str">
        <f aca="false">IF(A68="","",ACOS(-TAN(RADIANS(Dashboard!$B$53))*TAN(C68)))</f>
        <v/>
      </c>
      <c r="E68" s="1" t="str">
        <f aca="false">IF(A68="","",(24*60/PI())*0.082*(1+0.033*COS(2*PI()*B68/365))*(D68*SIN(RADIANS(Dashboard!$B$53))*SIN(C68)+COS(RADIANS(Dashboard!$B$53))*COS(C68)*SIN(D68)))</f>
        <v/>
      </c>
      <c r="F68" s="1" t="str">
        <f aca="false">IF(A68="","",24/PI()*D68)</f>
        <v/>
      </c>
      <c r="H68" s="1" t="n">
        <v>64</v>
      </c>
      <c r="I68" s="1" t="n">
        <f aca="false">0.409*SIN(2*PI()*H68/365-1.39)</f>
        <v>-0.116284415131264</v>
      </c>
      <c r="J68" s="1" t="n">
        <f aca="false">ACOS(-TAN(RADIANS(Dashboard!$B$53))*TAN(I68))</f>
        <v>1.53618830549016</v>
      </c>
      <c r="K68" s="1" t="n">
        <f aca="false">(24*60/PI())*0.082*(1+0.033*COS(2*PI()*H68/365))*(J68*SIN(RADIANS(Dashboard!$B$53))*SIN(I68)+COS(RADIANS(Dashboard!$B$53))*COS(I68)*SIN(J68))</f>
        <v>34.3760777354994</v>
      </c>
      <c r="L68" s="1" t="n">
        <f aca="false">24/PI()*J68</f>
        <v>11.7356141922586</v>
      </c>
    </row>
    <row r="69" customFormat="false" ht="15" hidden="false" customHeight="true" outlineLevel="0" collapsed="false">
      <c r="A69" s="1" t="str">
        <f aca="false">IF(OR(A68="",A68&gt;=Dashboard!$B$55),"",A68+1)</f>
        <v/>
      </c>
      <c r="B69" s="1" t="str">
        <f aca="false">IF(A69="","",A69-DATE(YEAR(A69),1,0))</f>
        <v/>
      </c>
      <c r="C69" s="1" t="str">
        <f aca="false">IF(A69="","",0.409*SIN(2*PI()*B69/365-1.39))</f>
        <v/>
      </c>
      <c r="D69" s="1" t="str">
        <f aca="false">IF(A69="","",ACOS(-TAN(RADIANS(Dashboard!$B$53))*TAN(C69)))</f>
        <v/>
      </c>
      <c r="E69" s="1" t="str">
        <f aca="false">IF(A69="","",(24*60/PI())*0.082*(1+0.033*COS(2*PI()*B69/365))*(D69*SIN(RADIANS(Dashboard!$B$53))*SIN(C69)+COS(RADIANS(Dashboard!$B$53))*COS(C69)*SIN(D69)))</f>
        <v/>
      </c>
      <c r="F69" s="1" t="str">
        <f aca="false">IF(A69="","",24/PI()*D69)</f>
        <v/>
      </c>
      <c r="H69" s="1" t="n">
        <v>65</v>
      </c>
      <c r="I69" s="1" t="n">
        <f aca="false">0.409*SIN(2*PI()*H69/365-1.39)</f>
        <v>-0.109517466678586</v>
      </c>
      <c r="J69" s="1" t="n">
        <f aca="false">ACOS(-TAN(RADIANS(Dashboard!$B$53))*TAN(I69))</f>
        <v>1.53821969019202</v>
      </c>
      <c r="K69" s="1" t="n">
        <f aca="false">(24*60/PI())*0.082*(1+0.033*COS(2*PI()*H69/365))*(J69*SIN(RADIANS(Dashboard!$B$53))*SIN(I69)+COS(RADIANS(Dashboard!$B$53))*COS(I69)*SIN(J69))</f>
        <v>34.4986219523175</v>
      </c>
      <c r="L69" s="1" t="n">
        <f aca="false">24/PI()*J69</f>
        <v>11.7511328282565</v>
      </c>
    </row>
    <row r="70" customFormat="false" ht="15" hidden="false" customHeight="true" outlineLevel="0" collapsed="false">
      <c r="A70" s="1" t="str">
        <f aca="false">IF(OR(A69="",A69&gt;=Dashboard!$B$55),"",A69+1)</f>
        <v/>
      </c>
      <c r="B70" s="1" t="str">
        <f aca="false">IF(A70="","",A70-DATE(YEAR(A70),1,0))</f>
        <v/>
      </c>
      <c r="C70" s="1" t="str">
        <f aca="false">IF(A70="","",0.409*SIN(2*PI()*B70/365-1.39))</f>
        <v/>
      </c>
      <c r="D70" s="1" t="str">
        <f aca="false">IF(A70="","",ACOS(-TAN(RADIANS(Dashboard!$B$53))*TAN(C70)))</f>
        <v/>
      </c>
      <c r="E70" s="1" t="str">
        <f aca="false">IF(A70="","",(24*60/PI())*0.082*(1+0.033*COS(2*PI()*B70/365))*(D70*SIN(RADIANS(Dashboard!$B$53))*SIN(C70)+COS(RADIANS(Dashboard!$B$53))*COS(C70)*SIN(D70)))</f>
        <v/>
      </c>
      <c r="F70" s="1" t="str">
        <f aca="false">IF(A70="","",24/PI()*D70)</f>
        <v/>
      </c>
      <c r="H70" s="1" t="n">
        <v>66</v>
      </c>
      <c r="I70" s="1" t="n">
        <f aca="false">0.409*SIN(2*PI()*H70/365-1.39)</f>
        <v>-0.102718065836951</v>
      </c>
      <c r="J70" s="1" t="n">
        <f aca="false">ACOS(-TAN(RADIANS(Dashboard!$B$53))*TAN(I70))</f>
        <v>1.54025763945782</v>
      </c>
      <c r="K70" s="1" t="n">
        <f aca="false">(24*60/PI())*0.082*(1+0.033*COS(2*PI()*H70/365))*(J70*SIN(RADIANS(Dashboard!$B$53))*SIN(I70)+COS(RADIANS(Dashboard!$B$53))*COS(I70)*SIN(J70))</f>
        <v>34.6201104429735</v>
      </c>
      <c r="L70" s="1" t="n">
        <f aca="false">24/PI()*J70</f>
        <v>11.7667016138288</v>
      </c>
    </row>
    <row r="71" customFormat="false" ht="15" hidden="false" customHeight="true" outlineLevel="0" collapsed="false">
      <c r="A71" s="1" t="str">
        <f aca="false">IF(OR(A70="",A70&gt;=Dashboard!$B$55),"",A70+1)</f>
        <v/>
      </c>
      <c r="B71" s="1" t="str">
        <f aca="false">IF(A71="","",A71-DATE(YEAR(A71),1,0))</f>
        <v/>
      </c>
      <c r="C71" s="1" t="str">
        <f aca="false">IF(A71="","",0.409*SIN(2*PI()*B71/365-1.39))</f>
        <v/>
      </c>
      <c r="D71" s="1" t="str">
        <f aca="false">IF(A71="","",ACOS(-TAN(RADIANS(Dashboard!$B$53))*TAN(C71)))</f>
        <v/>
      </c>
      <c r="E71" s="1" t="str">
        <f aca="false">IF(A71="","",(24*60/PI())*0.082*(1+0.033*COS(2*PI()*B71/365))*(D71*SIN(RADIANS(Dashboard!$B$53))*SIN(C71)+COS(RADIANS(Dashboard!$B$53))*COS(C71)*SIN(D71)))</f>
        <v/>
      </c>
      <c r="F71" s="1" t="str">
        <f aca="false">IF(A71="","",24/PI()*D71)</f>
        <v/>
      </c>
      <c r="H71" s="1" t="n">
        <v>67</v>
      </c>
      <c r="I71" s="1" t="n">
        <f aca="false">0.409*SIN(2*PI()*H71/365-1.39)</f>
        <v>-0.0958882274155706</v>
      </c>
      <c r="J71" s="1" t="n">
        <f aca="false">ACOS(-TAN(RADIANS(Dashboard!$B$53))*TAN(I71))</f>
        <v>1.54230171048236</v>
      </c>
      <c r="K71" s="1" t="n">
        <f aca="false">(24*60/PI())*0.082*(1+0.033*COS(2*PI()*H71/365))*(J71*SIN(RADIANS(Dashboard!$B$53))*SIN(I71)+COS(RADIANS(Dashboard!$B$53))*COS(I71)*SIN(J71))</f>
        <v>34.7404798718043</v>
      </c>
      <c r="L71" s="1" t="n">
        <f aca="false">24/PI()*J71</f>
        <v>11.782317166193</v>
      </c>
    </row>
    <row r="72" customFormat="false" ht="15" hidden="false" customHeight="true" outlineLevel="0" collapsed="false">
      <c r="A72" s="1" t="str">
        <f aca="false">IF(OR(A71="",A71&gt;=Dashboard!$B$55),"",A71+1)</f>
        <v/>
      </c>
      <c r="B72" s="1" t="str">
        <f aca="false">IF(A72="","",A72-DATE(YEAR(A72),1,0))</f>
        <v/>
      </c>
      <c r="C72" s="1" t="str">
        <f aca="false">IF(A72="","",0.409*SIN(2*PI()*B72/365-1.39))</f>
        <v/>
      </c>
      <c r="D72" s="1" t="str">
        <f aca="false">IF(A72="","",ACOS(-TAN(RADIANS(Dashboard!$B$53))*TAN(C72)))</f>
        <v/>
      </c>
      <c r="E72" s="1" t="str">
        <f aca="false">IF(A72="","",(24*60/PI())*0.082*(1+0.033*COS(2*PI()*B72/365))*(D72*SIN(RADIANS(Dashboard!$B$53))*SIN(C72)+COS(RADIANS(Dashboard!$B$53))*COS(C72)*SIN(D72)))</f>
        <v/>
      </c>
      <c r="F72" s="1" t="str">
        <f aca="false">IF(A72="","",24/PI()*D72)</f>
        <v/>
      </c>
      <c r="H72" s="1" t="n">
        <v>68</v>
      </c>
      <c r="I72" s="1" t="n">
        <f aca="false">0.409*SIN(2*PI()*H72/365-1.39)</f>
        <v>-0.0890299752429696</v>
      </c>
      <c r="J72" s="1" t="n">
        <f aca="false">ACOS(-TAN(RADIANS(Dashboard!$B$53))*TAN(I72))</f>
        <v>1.54435146540457</v>
      </c>
      <c r="K72" s="1" t="n">
        <f aca="false">(24*60/PI())*0.082*(1+0.033*COS(2*PI()*H72/365))*(J72*SIN(RADIANS(Dashboard!$B$53))*SIN(I72)+COS(RADIANS(Dashboard!$B$53))*COS(I72)*SIN(J72))</f>
        <v>34.8596685502042</v>
      </c>
      <c r="L72" s="1" t="n">
        <f aca="false">24/PI()*J72</f>
        <v>11.7979761403368</v>
      </c>
    </row>
    <row r="73" customFormat="false" ht="15" hidden="false" customHeight="true" outlineLevel="0" collapsed="false">
      <c r="A73" s="1" t="str">
        <f aca="false">IF(OR(A72="",A72&gt;=Dashboard!$B$55),"",A72+1)</f>
        <v/>
      </c>
      <c r="B73" s="1" t="str">
        <f aca="false">IF(A73="","",A73-DATE(YEAR(A73),1,0))</f>
        <v/>
      </c>
      <c r="C73" s="1" t="str">
        <f aca="false">IF(A73="","",0.409*SIN(2*PI()*B73/365-1.39))</f>
        <v/>
      </c>
      <c r="D73" s="1" t="str">
        <f aca="false">IF(A73="","",ACOS(-TAN(RADIANS(Dashboard!$B$53))*TAN(C73)))</f>
        <v/>
      </c>
      <c r="E73" s="1" t="str">
        <f aca="false">IF(A73="","",(24*60/PI())*0.082*(1+0.033*COS(2*PI()*B73/365))*(D73*SIN(RADIANS(Dashboard!$B$53))*SIN(C73)+COS(RADIANS(Dashboard!$B$53))*COS(C73)*SIN(D73)))</f>
        <v/>
      </c>
      <c r="F73" s="1" t="str">
        <f aca="false">IF(A73="","",24/PI()*D73)</f>
        <v/>
      </c>
      <c r="H73" s="1" t="n">
        <v>69</v>
      </c>
      <c r="I73" s="1" t="n">
        <f aca="false">0.409*SIN(2*PI()*H73/365-1.39)</f>
        <v>-0.0821453415672799</v>
      </c>
      <c r="J73" s="1" t="n">
        <f aca="false">ACOS(-TAN(RADIANS(Dashboard!$B$53))*TAN(I73))</f>
        <v>1.54640647102638</v>
      </c>
      <c r="K73" s="1" t="n">
        <f aca="false">(24*60/PI())*0.082*(1+0.033*COS(2*PI()*H73/365))*(J73*SIN(RADIANS(Dashboard!$B$53))*SIN(I73)+COS(RADIANS(Dashboard!$B$53))*COS(I73)*SIN(J73))</f>
        <v>34.9776164960584</v>
      </c>
      <c r="L73" s="1" t="n">
        <f aca="false">24/PI()*J73</f>
        <v>11.8136752268708</v>
      </c>
    </row>
    <row r="74" customFormat="false" ht="15" hidden="false" customHeight="true" outlineLevel="0" collapsed="false">
      <c r="A74" s="1" t="str">
        <f aca="false">IF(OR(A73="",A73&gt;=Dashboard!$B$55),"",A73+1)</f>
        <v/>
      </c>
      <c r="B74" s="1" t="str">
        <f aca="false">IF(A74="","",A74-DATE(YEAR(A74),1,0))</f>
        <v/>
      </c>
      <c r="C74" s="1" t="str">
        <f aca="false">IF(A74="","",0.409*SIN(2*PI()*B74/365-1.39))</f>
        <v/>
      </c>
      <c r="D74" s="1" t="str">
        <f aca="false">IF(A74="","",ACOS(-TAN(RADIANS(Dashboard!$B$53))*TAN(C74)))</f>
        <v/>
      </c>
      <c r="E74" s="1" t="str">
        <f aca="false">IF(A74="","",(24*60/PI())*0.082*(1+0.033*COS(2*PI()*B74/365))*(D74*SIN(RADIANS(Dashboard!$B$53))*SIN(C74)+COS(RADIANS(Dashboard!$B$53))*COS(C74)*SIN(D74)))</f>
        <v/>
      </c>
      <c r="F74" s="1" t="str">
        <f aca="false">IF(A74="","",24/PI()*D74)</f>
        <v/>
      </c>
      <c r="H74" s="1" t="n">
        <v>70</v>
      </c>
      <c r="I74" s="1" t="n">
        <f aca="false">0.409*SIN(2*PI()*H74/365-1.39)</f>
        <v>-0.075236366454042</v>
      </c>
      <c r="J74" s="1" t="n">
        <f aca="false">ACOS(-TAN(RADIANS(Dashboard!$B$53))*TAN(I74))</f>
        <v>1.54846629852008</v>
      </c>
      <c r="K74" s="1" t="n">
        <f aca="false">(24*60/PI())*0.082*(1+0.033*COS(2*PI()*H74/365))*(J74*SIN(RADIANS(Dashboard!$B$53))*SIN(I74)+COS(RADIANS(Dashboard!$B$53))*COS(I74)*SIN(J74))</f>
        <v>35.0942654908905</v>
      </c>
      <c r="L74" s="1" t="n">
        <f aca="false">24/PI()*J74</f>
        <v>11.8294111497927</v>
      </c>
    </row>
    <row r="75" customFormat="false" ht="15" hidden="false" customHeight="true" outlineLevel="0" collapsed="false">
      <c r="A75" s="1" t="str">
        <f aca="false">IF(OR(A74="",A74&gt;=Dashboard!$B$55),"",A74+1)</f>
        <v/>
      </c>
      <c r="B75" s="1" t="str">
        <f aca="false">IF(A75="","",A75-DATE(YEAR(A75),1,0))</f>
        <v/>
      </c>
      <c r="C75" s="1" t="str">
        <f aca="false">IF(A75="","",0.409*SIN(2*PI()*B75/365-1.39))</f>
        <v/>
      </c>
      <c r="D75" s="1" t="str">
        <f aca="false">IF(A75="","",ACOS(-TAN(RADIANS(Dashboard!$B$53))*TAN(C75)))</f>
        <v/>
      </c>
      <c r="E75" s="1" t="str">
        <f aca="false">IF(A75="","",(24*60/PI())*0.082*(1+0.033*COS(2*PI()*B75/365))*(D75*SIN(RADIANS(Dashboard!$B$53))*SIN(C75)+COS(RADIANS(Dashboard!$B$53))*COS(C75)*SIN(D75)))</f>
        <v/>
      </c>
      <c r="F75" s="1" t="str">
        <f aca="false">IF(A75="","",24/PI()*D75)</f>
        <v/>
      </c>
      <c r="H75" s="1" t="n">
        <v>71</v>
      </c>
      <c r="I75" s="1" t="n">
        <f aca="false">0.409*SIN(2*PI()*H75/365-1.39)</f>
        <v>-0.0683050971816902</v>
      </c>
      <c r="J75" s="1" t="n">
        <f aca="false">ACOS(-TAN(RADIANS(Dashboard!$B$53))*TAN(I75))</f>
        <v>1.55053052312496</v>
      </c>
      <c r="K75" s="1" t="n">
        <f aca="false">(24*60/PI())*0.082*(1+0.033*COS(2*PI()*H75/365))*(J75*SIN(RADIANS(Dashboard!$B$53))*SIN(I75)+COS(RADIANS(Dashboard!$B$53))*COS(I75)*SIN(J75))</f>
        <v>35.2095591346199</v>
      </c>
      <c r="L75" s="1" t="n">
        <f aca="false">24/PI()*J75</f>
        <v>11.8451806641696</v>
      </c>
    </row>
    <row r="76" customFormat="false" ht="15" hidden="false" customHeight="true" outlineLevel="0" collapsed="false">
      <c r="A76" s="1" t="str">
        <f aca="false">IF(OR(A75="",A75&gt;=Dashboard!$B$55),"",A75+1)</f>
        <v/>
      </c>
      <c r="B76" s="1" t="str">
        <f aca="false">IF(A76="","",A76-DATE(YEAR(A76),1,0))</f>
        <v/>
      </c>
      <c r="C76" s="1" t="str">
        <f aca="false">IF(A76="","",0.409*SIN(2*PI()*B76/365-1.39))</f>
        <v/>
      </c>
      <c r="D76" s="1" t="str">
        <f aca="false">IF(A76="","",ACOS(-TAN(RADIANS(Dashboard!$B$53))*TAN(C76)))</f>
        <v/>
      </c>
      <c r="E76" s="1" t="str">
        <f aca="false">IF(A76="","",(24*60/PI())*0.082*(1+0.033*COS(2*PI()*B76/365))*(D76*SIN(RADIANS(Dashboard!$B$53))*SIN(C76)+COS(RADIANS(Dashboard!$B$53))*COS(C76)*SIN(D76)))</f>
        <v/>
      </c>
      <c r="F76" s="1" t="str">
        <f aca="false">IF(A76="","",24/PI()*D76)</f>
        <v/>
      </c>
      <c r="H76" s="1" t="n">
        <v>72</v>
      </c>
      <c r="I76" s="1" t="n">
        <f aca="false">0.409*SIN(2*PI()*H76/365-1.39)</f>
        <v>-0.0613535876348986</v>
      </c>
      <c r="J76" s="1" t="n">
        <f aca="false">ACOS(-TAN(RADIANS(Dashboard!$B$53))*TAN(I76))</f>
        <v>1.55259872383428</v>
      </c>
      <c r="K76" s="1" t="n">
        <f aca="false">(24*60/PI())*0.082*(1+0.033*COS(2*PI()*H76/365))*(J76*SIN(RADIANS(Dashboard!$B$53))*SIN(I76)+COS(RADIANS(Dashboard!$B$53))*COS(I76)*SIN(J76))</f>
        <v>35.3234428978322</v>
      </c>
      <c r="L76" s="1" t="n">
        <f aca="false">24/PI()*J76</f>
        <v>11.8609805537469</v>
      </c>
    </row>
    <row r="77" customFormat="false" ht="15" hidden="false" customHeight="true" outlineLevel="0" collapsed="false">
      <c r="A77" s="1" t="str">
        <f aca="false">IF(OR(A76="",A76&gt;=Dashboard!$B$55),"",A76+1)</f>
        <v/>
      </c>
      <c r="B77" s="1" t="str">
        <f aca="false">IF(A77="","",A77-DATE(YEAR(A77),1,0))</f>
        <v/>
      </c>
      <c r="C77" s="1" t="str">
        <f aca="false">IF(A77="","",0.409*SIN(2*PI()*B77/365-1.39))</f>
        <v/>
      </c>
      <c r="D77" s="1" t="str">
        <f aca="false">IF(A77="","",ACOS(-TAN(RADIANS(Dashboard!$B$53))*TAN(C77)))</f>
        <v/>
      </c>
      <c r="E77" s="1" t="str">
        <f aca="false">IF(A77="","",(24*60/PI())*0.082*(1+0.033*COS(2*PI()*B77/365))*(D77*SIN(RADIANS(Dashboard!$B$53))*SIN(C77)+COS(RADIANS(Dashboard!$B$53))*COS(C77)*SIN(D77)))</f>
        <v/>
      </c>
      <c r="F77" s="1" t="str">
        <f aca="false">IF(A77="","",24/PI()*D77)</f>
        <v/>
      </c>
      <c r="H77" s="1" t="n">
        <v>73</v>
      </c>
      <c r="I77" s="1" t="n">
        <f aca="false">0.409*SIN(2*PI()*H77/365-1.39)</f>
        <v>-0.054383897695972</v>
      </c>
      <c r="J77" s="1" t="n">
        <f aca="false">ACOS(-TAN(RADIANS(Dashboard!$B$53))*TAN(I77))</f>
        <v>1.55467048307315</v>
      </c>
      <c r="K77" s="1" t="n">
        <f aca="false">(24*60/PI())*0.082*(1+0.033*COS(2*PI()*H77/365))*(J77*SIN(RADIANS(Dashboard!$B$53))*SIN(I77)+COS(RADIANS(Dashboard!$B$53))*COS(I77)*SIN(J77))</f>
        <v>35.4358641714674</v>
      </c>
      <c r="L77" s="1" t="n">
        <f aca="false">24/PI()*J77</f>
        <v>11.8768076284875</v>
      </c>
    </row>
    <row r="78" customFormat="false" ht="15" hidden="false" customHeight="true" outlineLevel="0" collapsed="false">
      <c r="A78" s="1" t="str">
        <f aca="false">IF(OR(A77="",A77&gt;=Dashboard!$B$55),"",A77+1)</f>
        <v/>
      </c>
      <c r="B78" s="1" t="str">
        <f aca="false">IF(A78="","",A78-DATE(YEAR(A78),1,0))</f>
        <v/>
      </c>
      <c r="C78" s="1" t="str">
        <f aca="false">IF(A78="","",0.409*SIN(2*PI()*B78/365-1.39))</f>
        <v/>
      </c>
      <c r="D78" s="1" t="str">
        <f aca="false">IF(A78="","",ACOS(-TAN(RADIANS(Dashboard!$B$53))*TAN(C78)))</f>
        <v/>
      </c>
      <c r="E78" s="1" t="str">
        <f aca="false">IF(A78="","",(24*60/PI())*0.082*(1+0.033*COS(2*PI()*B78/365))*(D78*SIN(RADIANS(Dashboard!$B$53))*SIN(C78)+COS(RADIANS(Dashboard!$B$53))*COS(C78)*SIN(D78)))</f>
        <v/>
      </c>
      <c r="F78" s="1" t="str">
        <f aca="false">IF(A78="","",24/PI()*D78)</f>
        <v/>
      </c>
      <c r="H78" s="1" t="n">
        <v>74</v>
      </c>
      <c r="I78" s="1" t="n">
        <f aca="false">0.409*SIN(2*PI()*H78/365-1.39)</f>
        <v>-0.0473980926344573</v>
      </c>
      <c r="J78" s="1" t="n">
        <f aca="false">ACOS(-TAN(RADIANS(Dashboard!$B$53))*TAN(I78))</f>
        <v>1.55674538636857</v>
      </c>
      <c r="K78" s="1" t="n">
        <f aca="false">(24*60/PI())*0.082*(1+0.033*COS(2*PI()*H78/365))*(J78*SIN(RADIANS(Dashboard!$B$53))*SIN(I78)+COS(RADIANS(Dashboard!$B$53))*COS(I78)*SIN(J78))</f>
        <v>35.5467723138367</v>
      </c>
      <c r="L78" s="1" t="n">
        <f aca="false">24/PI()*J78</f>
        <v>11.8926587220509</v>
      </c>
    </row>
    <row r="79" customFormat="false" ht="15" hidden="false" customHeight="true" outlineLevel="0" collapsed="false">
      <c r="A79" s="1" t="str">
        <f aca="false">IF(OR(A78="",A78&gt;=Dashboard!$B$55),"",A78+1)</f>
        <v/>
      </c>
      <c r="B79" s="1" t="str">
        <f aca="false">IF(A79="","",A79-DATE(YEAR(A79),1,0))</f>
        <v/>
      </c>
      <c r="C79" s="1" t="str">
        <f aca="false">IF(A79="","",0.409*SIN(2*PI()*B79/365-1.39))</f>
        <v/>
      </c>
      <c r="D79" s="1" t="str">
        <f aca="false">IF(A79="","",ACOS(-TAN(RADIANS(Dashboard!$B$53))*TAN(C79)))</f>
        <v/>
      </c>
      <c r="E79" s="1" t="str">
        <f aca="false">IF(A79="","",(24*60/PI())*0.082*(1+0.033*COS(2*PI()*B79/365))*(D79*SIN(RADIANS(Dashboard!$B$53))*SIN(C79)+COS(RADIANS(Dashboard!$B$53))*COS(C79)*SIN(D79)))</f>
        <v/>
      </c>
      <c r="F79" s="1" t="str">
        <f aca="false">IF(A79="","",24/PI()*D79)</f>
        <v/>
      </c>
      <c r="H79" s="1" t="n">
        <v>75</v>
      </c>
      <c r="I79" s="1" t="n">
        <f aca="false">0.409*SIN(2*PI()*H79/365-1.39)</f>
        <v>-0.0403982424951605</v>
      </c>
      <c r="J79" s="1" t="n">
        <f aca="false">ACOS(-TAN(RADIANS(Dashboard!$B$53))*TAN(I79))</f>
        <v>1.55882302201214</v>
      </c>
      <c r="K79" s="1" t="n">
        <f aca="false">(24*60/PI())*0.082*(1+0.033*COS(2*PI()*H79/365))*(J79*SIN(RADIANS(Dashboard!$B$53))*SIN(I79)+COS(RADIANS(Dashboard!$B$53))*COS(I79)*SIN(J79))</f>
        <v>35.6561186948834</v>
      </c>
      <c r="L79" s="1" t="n">
        <f aca="false">24/PI()*J79</f>
        <v>11.9085306892166</v>
      </c>
    </row>
    <row r="80" customFormat="false" ht="15" hidden="false" customHeight="true" outlineLevel="0" collapsed="false">
      <c r="A80" s="1" t="str">
        <f aca="false">IF(OR(A79="",A79&gt;=Dashboard!$B$55),"",A79+1)</f>
        <v/>
      </c>
      <c r="B80" s="1" t="str">
        <f aca="false">IF(A80="","",A80-DATE(YEAR(A80),1,0))</f>
        <v/>
      </c>
      <c r="C80" s="1" t="str">
        <f aca="false">IF(A80="","",0.409*SIN(2*PI()*B80/365-1.39))</f>
        <v/>
      </c>
      <c r="D80" s="1" t="str">
        <f aca="false">IF(A80="","",ACOS(-TAN(RADIANS(Dashboard!$B$53))*TAN(C80)))</f>
        <v/>
      </c>
      <c r="E80" s="1" t="str">
        <f aca="false">IF(A80="","",(24*60/PI())*0.082*(1+0.033*COS(2*PI()*B80/365))*(D80*SIN(RADIANS(Dashboard!$B$53))*SIN(C80)+COS(RADIANS(Dashboard!$B$53))*COS(C80)*SIN(D80)))</f>
        <v/>
      </c>
      <c r="F80" s="1" t="str">
        <f aca="false">IF(A80="","",24/PI()*D80)</f>
        <v/>
      </c>
      <c r="H80" s="1" t="n">
        <v>76</v>
      </c>
      <c r="I80" s="1" t="n">
        <f aca="false">0.409*SIN(2*PI()*H80/365-1.39)</f>
        <v>-0.0333864214847469</v>
      </c>
      <c r="J80" s="1" t="n">
        <f aca="false">ACOS(-TAN(RADIANS(Dashboard!$B$53))*TAN(I80))</f>
        <v>1.56090298071646</v>
      </c>
      <c r="K80" s="1" t="n">
        <f aca="false">(24*60/PI())*0.082*(1+0.033*COS(2*PI()*H80/365))*(J80*SIN(RADIANS(Dashboard!$B$53))*SIN(I80)+COS(RADIANS(Dashboard!$B$53))*COS(I80)*SIN(J80))</f>
        <v>35.7638567376077</v>
      </c>
      <c r="L80" s="1" t="n">
        <f aca="false">24/PI()*J80</f>
        <v>11.9244204032591</v>
      </c>
    </row>
    <row r="81" customFormat="false" ht="15" hidden="false" customHeight="true" outlineLevel="0" collapsed="false">
      <c r="A81" s="1" t="str">
        <f aca="false">IF(OR(A80="",A80&gt;=Dashboard!$B$55),"",A80+1)</f>
        <v/>
      </c>
      <c r="B81" s="1" t="str">
        <f aca="false">IF(A81="","",A81-DATE(YEAR(A81),1,0))</f>
        <v/>
      </c>
      <c r="C81" s="1" t="str">
        <f aca="false">IF(A81="","",0.409*SIN(2*PI()*B81/365-1.39))</f>
        <v/>
      </c>
      <c r="D81" s="1" t="str">
        <f aca="false">IF(A81="","",ACOS(-TAN(RADIANS(Dashboard!$B$53))*TAN(C81)))</f>
        <v/>
      </c>
      <c r="E81" s="1" t="str">
        <f aca="false">IF(A81="","",(24*60/PI())*0.082*(1+0.033*COS(2*PI()*B81/365))*(D81*SIN(RADIANS(Dashboard!$B$53))*SIN(C81)+COS(RADIANS(Dashboard!$B$53))*COS(C81)*SIN(D81)))</f>
        <v/>
      </c>
      <c r="F81" s="1" t="str">
        <f aca="false">IF(A81="","",24/PI()*D81)</f>
        <v/>
      </c>
      <c r="H81" s="1" t="n">
        <v>77</v>
      </c>
      <c r="I81" s="1" t="n">
        <f aca="false">0.409*SIN(2*PI()*H81/365-1.39)</f>
        <v>-0.0263647073571094</v>
      </c>
      <c r="J81" s="1" t="n">
        <f aca="false">ACOS(-TAN(RADIANS(Dashboard!$B$53))*TAN(I81))</f>
        <v>1.56298485526608</v>
      </c>
      <c r="K81" s="1" t="n">
        <f aca="false">(24*60/PI())*0.082*(1+0.033*COS(2*PI()*H81/365))*(J81*SIN(RADIANS(Dashboard!$B$53))*SIN(I81)+COS(RADIANS(Dashboard!$B$53))*COS(I81)*SIN(J81))</f>
        <v>35.8699419565826</v>
      </c>
      <c r="L81" s="1" t="n">
        <f aca="false">24/PI()*J81</f>
        <v>11.9403247532816</v>
      </c>
    </row>
    <row r="82" customFormat="false" ht="15" hidden="false" customHeight="true" outlineLevel="0" collapsed="false">
      <c r="A82" s="1" t="str">
        <f aca="false">IF(OR(A81="",A81&gt;=Dashboard!$B$55),"",A81+1)</f>
        <v/>
      </c>
      <c r="B82" s="1" t="str">
        <f aca="false">IF(A82="","",A82-DATE(YEAR(A82),1,0))</f>
        <v/>
      </c>
      <c r="C82" s="1" t="str">
        <f aca="false">IF(A82="","",0.409*SIN(2*PI()*B82/365-1.39))</f>
        <v/>
      </c>
      <c r="D82" s="1" t="str">
        <f aca="false">IF(A82="","",ACOS(-TAN(RADIANS(Dashboard!$B$53))*TAN(C82)))</f>
        <v/>
      </c>
      <c r="E82" s="1" t="str">
        <f aca="false">IF(A82="","",(24*60/PI())*0.082*(1+0.033*COS(2*PI()*B82/365))*(D82*SIN(RADIANS(Dashboard!$B$53))*SIN(C82)+COS(RADIANS(Dashboard!$B$53))*COS(C82)*SIN(D82)))</f>
        <v/>
      </c>
      <c r="F82" s="1" t="str">
        <f aca="false">IF(A82="","",24/PI()*D82)</f>
        <v/>
      </c>
      <c r="H82" s="1" t="n">
        <v>78</v>
      </c>
      <c r="I82" s="1" t="n">
        <f aca="false">0.409*SIN(2*PI()*H82/365-1.39)</f>
        <v>-0.019335180797685</v>
      </c>
      <c r="J82" s="1" t="n">
        <f aca="false">ACOS(-TAN(RADIANS(Dashboard!$B$53))*TAN(I82))</f>
        <v>1.56506824016367</v>
      </c>
      <c r="K82" s="1" t="n">
        <f aca="false">(24*60/PI())*0.082*(1+0.033*COS(2*PI()*H82/365))*(J82*SIN(RADIANS(Dashboard!$B$53))*SIN(I82)+COS(RADIANS(Dashboard!$B$53))*COS(I82)*SIN(J82))</f>
        <v>35.9743319934915</v>
      </c>
      <c r="L82" s="1" t="n">
        <f aca="false">24/PI()*J82</f>
        <v>11.9562406415127</v>
      </c>
    </row>
    <row r="83" customFormat="false" ht="15" hidden="false" customHeight="true" outlineLevel="0" collapsed="false">
      <c r="A83" s="1" t="str">
        <f aca="false">IF(OR(A82="",A82&gt;=Dashboard!$B$55),"",A82+1)</f>
        <v/>
      </c>
      <c r="B83" s="1" t="str">
        <f aca="false">IF(A83="","",A83-DATE(YEAR(A83),1,0))</f>
        <v/>
      </c>
      <c r="C83" s="1" t="str">
        <f aca="false">IF(A83="","",0.409*SIN(2*PI()*B83/365-1.39))</f>
        <v/>
      </c>
      <c r="D83" s="1" t="str">
        <f aca="false">IF(A83="","",ACOS(-TAN(RADIANS(Dashboard!$B$53))*TAN(C83)))</f>
        <v/>
      </c>
      <c r="E83" s="1" t="str">
        <f aca="false">IF(A83="","",(24*60/PI())*0.082*(1+0.033*COS(2*PI()*B83/365))*(D83*SIN(RADIANS(Dashboard!$B$53))*SIN(C83)+COS(RADIANS(Dashboard!$B$53))*COS(C83)*SIN(D83)))</f>
        <v/>
      </c>
      <c r="F83" s="1" t="str">
        <f aca="false">IF(A83="","",24/PI()*D83)</f>
        <v/>
      </c>
      <c r="H83" s="1" t="n">
        <v>79</v>
      </c>
      <c r="I83" s="1" t="n">
        <f aca="false">0.409*SIN(2*PI()*H83/365-1.39)</f>
        <v>-0.0122999248069028</v>
      </c>
      <c r="J83" s="1" t="n">
        <f aca="false">ACOS(-TAN(RADIANS(Dashboard!$B$53))*TAN(I83))</f>
        <v>1.56715273127242</v>
      </c>
      <c r="K83" s="1" t="n">
        <f aca="false">(24*60/PI())*0.082*(1+0.033*COS(2*PI()*H83/365))*(J83*SIN(RADIANS(Dashboard!$B$53))*SIN(I83)+COS(RADIANS(Dashboard!$B$53))*COS(I83)*SIN(J83))</f>
        <v>36.0769866496254</v>
      </c>
      <c r="L83" s="1" t="n">
        <f aca="false">24/PI()*J83</f>
        <v>11.9721649805746</v>
      </c>
    </row>
    <row r="84" customFormat="false" ht="15" hidden="false" customHeight="true" outlineLevel="0" collapsed="false">
      <c r="A84" s="1" t="str">
        <f aca="false">IF(OR(A83="",A83&gt;=Dashboard!$B$55),"",A83+1)</f>
        <v/>
      </c>
      <c r="B84" s="1" t="str">
        <f aca="false">IF(A84="","",A84-DATE(YEAR(A84),1,0))</f>
        <v/>
      </c>
      <c r="C84" s="1" t="str">
        <f aca="false">IF(A84="","",0.409*SIN(2*PI()*B84/365-1.39))</f>
        <v/>
      </c>
      <c r="D84" s="1" t="str">
        <f aca="false">IF(A84="","",ACOS(-TAN(RADIANS(Dashboard!$B$53))*TAN(C84)))</f>
        <v/>
      </c>
      <c r="E84" s="1" t="str">
        <f aca="false">IF(A84="","",(24*60/PI())*0.082*(1+0.033*COS(2*PI()*B84/365))*(D84*SIN(RADIANS(Dashboard!$B$53))*SIN(C84)+COS(RADIANS(Dashboard!$B$53))*COS(C84)*SIN(D84)))</f>
        <v/>
      </c>
      <c r="F84" s="1" t="str">
        <f aca="false">IF(A84="","",24/PI()*D84)</f>
        <v/>
      </c>
      <c r="H84" s="1" t="n">
        <v>80</v>
      </c>
      <c r="I84" s="1" t="n">
        <f aca="false">0.409*SIN(2*PI()*H84/365-1.39)</f>
        <v>-0.00526102408294623</v>
      </c>
      <c r="J84" s="1" t="n">
        <f aca="false">ACOS(-TAN(RADIANS(Dashboard!$B$53))*TAN(I84))</f>
        <v>1.56923792545539</v>
      </c>
      <c r="K84" s="1" t="n">
        <f aca="false">(24*60/PI())*0.082*(1+0.033*COS(2*PI()*H84/365))*(J84*SIN(RADIANS(Dashboard!$B$53))*SIN(I84)+COS(RADIANS(Dashboard!$B$53))*COS(I84)*SIN(J84))</f>
        <v>36.1778679152833</v>
      </c>
      <c r="L84" s="1" t="n">
        <f aca="false">24/PI()*J84</f>
        <v>11.9880946907278</v>
      </c>
    </row>
    <row r="85" customFormat="false" ht="15" hidden="false" customHeight="true" outlineLevel="0" collapsed="false">
      <c r="A85" s="1" t="str">
        <f aca="false">IF(OR(A84="",A84&gt;=Dashboard!$B$55),"",A84+1)</f>
        <v/>
      </c>
      <c r="B85" s="1" t="str">
        <f aca="false">IF(A85="","",A85-DATE(YEAR(A85),1,0))</f>
        <v/>
      </c>
      <c r="C85" s="1" t="str">
        <f aca="false">IF(A85="","",0.409*SIN(2*PI()*B85/365-1.39))</f>
        <v/>
      </c>
      <c r="D85" s="1" t="str">
        <f aca="false">IF(A85="","",ACOS(-TAN(RADIANS(Dashboard!$B$53))*TAN(C85)))</f>
        <v/>
      </c>
      <c r="E85" s="1" t="str">
        <f aca="false">IF(A85="","",(24*60/PI())*0.082*(1+0.033*COS(2*PI()*B85/365))*(D85*SIN(RADIANS(Dashboard!$B$53))*SIN(C85)+COS(RADIANS(Dashboard!$B$53))*COS(C85)*SIN(D85)))</f>
        <v/>
      </c>
      <c r="F85" s="1" t="str">
        <f aca="false">IF(A85="","",24/PI()*D85)</f>
        <v/>
      </c>
      <c r="H85" s="1" t="n">
        <v>81</v>
      </c>
      <c r="I85" s="1" t="n">
        <f aca="false">0.409*SIN(2*PI()*H85/365-1.39)</f>
        <v>0.00177943559598827</v>
      </c>
      <c r="J85" s="1" t="n">
        <f aca="false">ACOS(-TAN(RADIANS(Dashboard!$B$53))*TAN(I85))</f>
        <v>1.57132342021258</v>
      </c>
      <c r="K85" s="1" t="n">
        <f aca="false">(24*60/PI())*0.082*(1+0.033*COS(2*PI()*H85/365))*(J85*SIN(RADIANS(Dashboard!$B$53))*SIN(I85)+COS(RADIANS(Dashboard!$B$53))*COS(I85)*SIN(J85))</f>
        <v>36.276939996024</v>
      </c>
      <c r="L85" s="1" t="n">
        <f aca="false">24/PI()*J85</f>
        <v>12.004026697099</v>
      </c>
    </row>
    <row r="86" customFormat="false" ht="15" hidden="false" customHeight="true" outlineLevel="0" collapsed="false">
      <c r="A86" s="1" t="str">
        <f aca="false">IF(OR(A85="",A85&gt;=Dashboard!$B$55),"",A85+1)</f>
        <v/>
      </c>
      <c r="B86" s="1" t="str">
        <f aca="false">IF(A86="","",A86-DATE(YEAR(A86),1,0))</f>
        <v/>
      </c>
      <c r="C86" s="1" t="str">
        <f aca="false">IF(A86="","",0.409*SIN(2*PI()*B86/365-1.39))</f>
        <v/>
      </c>
      <c r="D86" s="1" t="str">
        <f aca="false">IF(A86="","",ACOS(-TAN(RADIANS(Dashboard!$B$53))*TAN(C86)))</f>
        <v/>
      </c>
      <c r="E86" s="1" t="str">
        <f aca="false">IF(A86="","",(24*60/PI())*0.082*(1+0.033*COS(2*PI()*B86/365))*(D86*SIN(RADIANS(Dashboard!$B$53))*SIN(C86)+COS(RADIANS(Dashboard!$B$53))*COS(C86)*SIN(D86)))</f>
        <v/>
      </c>
      <c r="F86" s="1" t="str">
        <f aca="false">IF(A86="","",24/PI()*D86)</f>
        <v/>
      </c>
      <c r="H86" s="1" t="n">
        <v>82</v>
      </c>
      <c r="I86" s="1" t="n">
        <f aca="false">0.409*SIN(2*PI()*H86/365-1.39)</f>
        <v>0.00881936798975231</v>
      </c>
      <c r="J86" s="1" t="n">
        <f aca="false">ACOS(-TAN(RADIANS(Dashboard!$B$53))*TAN(I86))</f>
        <v>1.57340881331667</v>
      </c>
      <c r="K86" s="1" t="n">
        <f aca="false">(24*60/PI())*0.082*(1+0.033*COS(2*PI()*H86/365))*(J86*SIN(RADIANS(Dashboard!$B$53))*SIN(I86)+COS(RADIANS(Dashboard!$B$53))*COS(I86)*SIN(J86))</f>
        <v>36.3741693357274</v>
      </c>
      <c r="L86" s="1" t="n">
        <f aca="false">24/PI()*J86</f>
        <v>12.0199579268977</v>
      </c>
    </row>
    <row r="87" customFormat="false" ht="15" hidden="false" customHeight="true" outlineLevel="0" collapsed="false">
      <c r="A87" s="1" t="str">
        <f aca="false">IF(OR(A86="",A86&gt;=Dashboard!$B$55),"",A86+1)</f>
        <v/>
      </c>
      <c r="B87" s="1" t="str">
        <f aca="false">IF(A87="","",A87-DATE(YEAR(A87),1,0))</f>
        <v/>
      </c>
      <c r="C87" s="1" t="str">
        <f aca="false">IF(A87="","",0.409*SIN(2*PI()*B87/365-1.39))</f>
        <v/>
      </c>
      <c r="D87" s="1" t="str">
        <f aca="false">IF(A87="","",ACOS(-TAN(RADIANS(Dashboard!$B$53))*TAN(C87)))</f>
        <v/>
      </c>
      <c r="E87" s="1" t="str">
        <f aca="false">IF(A87="","",(24*60/PI())*0.082*(1+0.033*COS(2*PI()*B87/365))*(D87*SIN(RADIANS(Dashboard!$B$53))*SIN(C87)+COS(RADIANS(Dashboard!$B$53))*COS(C87)*SIN(D87)))</f>
        <v/>
      </c>
      <c r="F87" s="1" t="str">
        <f aca="false">IF(A87="","",24/PI()*D87)</f>
        <v/>
      </c>
      <c r="H87" s="1" t="n">
        <v>83</v>
      </c>
      <c r="I87" s="1" t="n">
        <f aca="false">0.409*SIN(2*PI()*H87/365-1.39)</f>
        <v>0.0158566870144436</v>
      </c>
      <c r="J87" s="1" t="n">
        <f aca="false">ACOS(-TAN(RADIANS(Dashboard!$B$53))*TAN(I87))</f>
        <v>1.5754937024481</v>
      </c>
      <c r="K87" s="1" t="n">
        <f aca="false">(24*60/PI())*0.082*(1+0.033*COS(2*PI()*H87/365))*(J87*SIN(RADIANS(Dashboard!$B$53))*SIN(I87)+COS(RADIANS(Dashboard!$B$53))*COS(I87)*SIN(J87))</f>
        <v>36.4695246364249</v>
      </c>
      <c r="L87" s="1" t="n">
        <f aca="false">24/PI()*J87</f>
        <v>12.0358853066288</v>
      </c>
    </row>
    <row r="88" customFormat="false" ht="15" hidden="false" customHeight="true" outlineLevel="0" collapsed="false">
      <c r="A88" s="1" t="str">
        <f aca="false">IF(OR(A87="",A87&gt;=Dashboard!$B$55),"",A87+1)</f>
        <v/>
      </c>
      <c r="B88" s="1" t="str">
        <f aca="false">IF(A88="","",A88-DATE(YEAR(A88),1,0))</f>
        <v/>
      </c>
      <c r="C88" s="1" t="str">
        <f aca="false">IF(A88="","",0.409*SIN(2*PI()*B88/365-1.39))</f>
        <v/>
      </c>
      <c r="D88" s="1" t="str">
        <f aca="false">IF(A88="","",ACOS(-TAN(RADIANS(Dashboard!$B$53))*TAN(C88)))</f>
        <v/>
      </c>
      <c r="E88" s="1" t="str">
        <f aca="false">IF(A88="","",(24*60/PI())*0.082*(1+0.033*COS(2*PI()*B88/365))*(D88*SIN(RADIANS(Dashboard!$B$53))*SIN(C88)+COS(RADIANS(Dashboard!$B$53))*COS(C88)*SIN(D88)))</f>
        <v/>
      </c>
      <c r="F88" s="1" t="str">
        <f aca="false">IF(A88="","",24/PI()*D88)</f>
        <v/>
      </c>
      <c r="H88" s="1" t="n">
        <v>84</v>
      </c>
      <c r="I88" s="1" t="n">
        <f aca="false">0.409*SIN(2*PI()*H88/365-1.39)</f>
        <v>0.022889307360557</v>
      </c>
      <c r="J88" s="1" t="n">
        <f aca="false">ACOS(-TAN(RADIANS(Dashboard!$B$53))*TAN(I88))</f>
        <v>1.57757768483036</v>
      </c>
      <c r="K88" s="1" t="n">
        <f aca="false">(24*60/PI())*0.082*(1+0.033*COS(2*PI()*H88/365))*(J88*SIN(RADIANS(Dashboard!$B$53))*SIN(I88)+COS(RADIANS(Dashboard!$B$53))*COS(I88)*SIN(J88))</f>
        <v>36.5629768748698</v>
      </c>
      <c r="L88" s="1" t="n">
        <f aca="false">24/PI()*J88</f>
        <v>12.0518057593066</v>
      </c>
    </row>
    <row r="89" customFormat="false" ht="15" hidden="false" customHeight="true" outlineLevel="0" collapsed="false">
      <c r="A89" s="1" t="str">
        <f aca="false">IF(OR(A88="",A88&gt;=Dashboard!$B$55),"",A88+1)</f>
        <v/>
      </c>
      <c r="B89" s="1" t="str">
        <f aca="false">IF(A89="","",A89-DATE(YEAR(A89),1,0))</f>
        <v/>
      </c>
      <c r="C89" s="1" t="str">
        <f aca="false">IF(A89="","",0.409*SIN(2*PI()*B89/365-1.39))</f>
        <v/>
      </c>
      <c r="D89" s="1" t="str">
        <f aca="false">IF(A89="","",ACOS(-TAN(RADIANS(Dashboard!$B$53))*TAN(C89)))</f>
        <v/>
      </c>
      <c r="E89" s="1" t="str">
        <f aca="false">IF(A89="","",(24*60/PI())*0.082*(1+0.033*COS(2*PI()*B89/365))*(D89*SIN(RADIANS(Dashboard!$B$53))*SIN(C89)+COS(RADIANS(Dashboard!$B$53))*COS(C89)*SIN(D89)))</f>
        <v/>
      </c>
      <c r="F89" s="1" t="str">
        <f aca="false">IF(A89="","",24/PI()*D89)</f>
        <v/>
      </c>
      <c r="H89" s="1" t="n">
        <v>85</v>
      </c>
      <c r="I89" s="1" t="n">
        <f aca="false">0.409*SIN(2*PI()*H89/365-1.39)</f>
        <v>0.0299151451109078</v>
      </c>
      <c r="J89" s="1" t="n">
        <f aca="false">ACOS(-TAN(RADIANS(Dashboard!$B$53))*TAN(I89))</f>
        <v>1.57966035686635</v>
      </c>
      <c r="K89" s="1" t="n">
        <f aca="false">(24*60/PI())*0.082*(1+0.033*COS(2*PI()*H89/365))*(J89*SIN(RADIANS(Dashboard!$B$53))*SIN(I89)+COS(RADIANS(Dashboard!$B$53))*COS(I89)*SIN(J89))</f>
        <v>36.6544993158214</v>
      </c>
      <c r="L89" s="1" t="n">
        <f aca="false">24/PI()*J89</f>
        <v>12.0677162016761</v>
      </c>
    </row>
    <row r="90" customFormat="false" ht="15" hidden="false" customHeight="true" outlineLevel="0" collapsed="false">
      <c r="A90" s="1" t="str">
        <f aca="false">IF(OR(A89="",A89&gt;=Dashboard!$B$55),"",A89+1)</f>
        <v/>
      </c>
      <c r="B90" s="1" t="str">
        <f aca="false">IF(A90="","",A90-DATE(YEAR(A90),1,0))</f>
        <v/>
      </c>
      <c r="C90" s="1" t="str">
        <f aca="false">IF(A90="","",0.409*SIN(2*PI()*B90/365-1.39))</f>
        <v/>
      </c>
      <c r="D90" s="1" t="str">
        <f aca="false">IF(A90="","",ACOS(-TAN(RADIANS(Dashboard!$B$53))*TAN(C90)))</f>
        <v/>
      </c>
      <c r="E90" s="1" t="str">
        <f aca="false">IF(A90="","",(24*60/PI())*0.082*(1+0.033*COS(2*PI()*B90/365))*(D90*SIN(RADIANS(Dashboard!$B$53))*SIN(C90)+COS(RADIANS(Dashboard!$B$53))*COS(C90)*SIN(D90)))</f>
        <v/>
      </c>
      <c r="F90" s="1" t="str">
        <f aca="false">IF(A90="","",24/PI()*D90)</f>
        <v/>
      </c>
      <c r="H90" s="1" t="n">
        <v>86</v>
      </c>
      <c r="I90" s="1" t="n">
        <f aca="false">0.409*SIN(2*PI()*H90/365-1.39)</f>
        <v>0.0369321183581405</v>
      </c>
      <c r="J90" s="1" t="n">
        <f aca="false">ACOS(-TAN(RADIANS(Dashboard!$B$53))*TAN(I90))</f>
        <v>1.58174131377643</v>
      </c>
      <c r="K90" s="1" t="n">
        <f aca="false">(24*60/PI())*0.082*(1+0.033*COS(2*PI()*H90/365))*(J90*SIN(RADIANS(Dashboard!$B$53))*SIN(I90)+COS(RADIANS(Dashboard!$B$53))*COS(I90)*SIN(J90))</f>
        <v>36.7440675220257</v>
      </c>
      <c r="L90" s="1" t="n">
        <f aca="false">24/PI()*J90</f>
        <v>12.083613541449</v>
      </c>
    </row>
    <row r="91" customFormat="false" ht="15" hidden="false" customHeight="true" outlineLevel="0" collapsed="false">
      <c r="A91" s="1" t="str">
        <f aca="false">IF(OR(A90="",A90&gt;=Dashboard!$B$55),"",A90+1)</f>
        <v/>
      </c>
      <c r="B91" s="1" t="str">
        <f aca="false">IF(A91="","",A91-DATE(YEAR(A91),1,0))</f>
        <v/>
      </c>
      <c r="C91" s="1" t="str">
        <f aca="false">IF(A91="","",0.409*SIN(2*PI()*B91/365-1.39))</f>
        <v/>
      </c>
      <c r="D91" s="1" t="str">
        <f aca="false">IF(A91="","",ACOS(-TAN(RADIANS(Dashboard!$B$53))*TAN(C91)))</f>
        <v/>
      </c>
      <c r="E91" s="1" t="str">
        <f aca="false">IF(A91="","",(24*60/PI())*0.082*(1+0.033*COS(2*PI()*B91/365))*(D91*SIN(RADIANS(Dashboard!$B$53))*SIN(C91)+COS(RADIANS(Dashboard!$B$53))*COS(C91)*SIN(D91)))</f>
        <v/>
      </c>
      <c r="F91" s="1" t="str">
        <f aca="false">IF(A91="","",24/PI()*D91)</f>
        <v/>
      </c>
      <c r="H91" s="1" t="n">
        <v>87</v>
      </c>
      <c r="I91" s="1" t="n">
        <f aca="false">0.409*SIN(2*PI()*H91/365-1.39)</f>
        <v>0.0439381478216433</v>
      </c>
      <c r="J91" s="1" t="n">
        <f aca="false">ACOS(-TAN(RADIANS(Dashboard!$B$53))*TAN(I91))</f>
        <v>1.5838201492393</v>
      </c>
      <c r="K91" s="1" t="n">
        <f aca="false">(24*60/PI())*0.082*(1+0.033*COS(2*PI()*H91/365))*(J91*SIN(RADIANS(Dashboard!$B$53))*SIN(I91)+COS(RADIANS(Dashboard!$B$53))*COS(I91)*SIN(J91))</f>
        <v>36.8316593608805</v>
      </c>
      <c r="L91" s="1" t="n">
        <f aca="false">24/PI()*J91</f>
        <v>12.0994946745589</v>
      </c>
    </row>
    <row r="92" customFormat="false" ht="15" hidden="false" customHeight="true" outlineLevel="0" collapsed="false">
      <c r="A92" s="1" t="str">
        <f aca="false">IF(OR(A91="",A91&gt;=Dashboard!$B$55),"",A91+1)</f>
        <v/>
      </c>
      <c r="B92" s="1" t="str">
        <f aca="false">IF(A92="","",A92-DATE(YEAR(A92),1,0))</f>
        <v/>
      </c>
      <c r="C92" s="1" t="str">
        <f aca="false">IF(A92="","",0.409*SIN(2*PI()*B92/365-1.39))</f>
        <v/>
      </c>
      <c r="D92" s="1" t="str">
        <f aca="false">IF(A92="","",ACOS(-TAN(RADIANS(Dashboard!$B$53))*TAN(C92)))</f>
        <v/>
      </c>
      <c r="E92" s="1" t="str">
        <f aca="false">IF(A92="","",(24*60/PI())*0.082*(1+0.033*COS(2*PI()*B92/365))*(D92*SIN(RADIANS(Dashboard!$B$53))*SIN(C92)+COS(RADIANS(Dashboard!$B$53))*COS(C92)*SIN(D92)))</f>
        <v/>
      </c>
      <c r="F92" s="1" t="str">
        <f aca="false">IF(A92="","",24/PI()*D92)</f>
        <v/>
      </c>
      <c r="H92" s="1" t="n">
        <v>88</v>
      </c>
      <c r="I92" s="1" t="n">
        <f aca="false">0.409*SIN(2*PI()*H92/365-1.39)</f>
        <v>0.0509311574636836</v>
      </c>
      <c r="J92" s="1" t="n">
        <f aca="false">ACOS(-TAN(RADIANS(Dashboard!$B$53))*TAN(I92))</f>
        <v>1.58589645503609</v>
      </c>
      <c r="K92" s="1" t="n">
        <f aca="false">(24*60/PI())*0.082*(1+0.033*COS(2*PI()*H92/365))*(J92*SIN(RADIANS(Dashboard!$B$53))*SIN(I92)+COS(RADIANS(Dashboard!$B$53))*COS(I92)*SIN(J92))</f>
        <v>36.9172550077805</v>
      </c>
      <c r="L92" s="1" t="n">
        <f aca="false">24/PI()*J92</f>
        <v>12.1153564824436</v>
      </c>
    </row>
    <row r="93" customFormat="false" ht="15" hidden="false" customHeight="true" outlineLevel="0" collapsed="false">
      <c r="A93" s="1" t="str">
        <f aca="false">IF(OR(A92="",A92&gt;=Dashboard!$B$55),"",A92+1)</f>
        <v/>
      </c>
      <c r="B93" s="1" t="str">
        <f aca="false">IF(A93="","",A93-DATE(YEAR(A93),1,0))</f>
        <v/>
      </c>
      <c r="C93" s="1" t="str">
        <f aca="false">IF(A93="","",0.409*SIN(2*PI()*B93/365-1.39))</f>
        <v/>
      </c>
      <c r="D93" s="1" t="str">
        <f aca="false">IF(A93="","",ACOS(-TAN(RADIANS(Dashboard!$B$53))*TAN(C93)))</f>
        <v/>
      </c>
      <c r="E93" s="1" t="str">
        <f aca="false">IF(A93="","",(24*60/PI())*0.082*(1+0.033*COS(2*PI()*B93/365))*(D93*SIN(RADIANS(Dashboard!$B$53))*SIN(C93)+COS(RADIANS(Dashboard!$B$53))*COS(C93)*SIN(D93)))</f>
        <v/>
      </c>
      <c r="F93" s="1" t="str">
        <f aca="false">IF(A93="","",24/PI()*D93)</f>
        <v/>
      </c>
      <c r="H93" s="1" t="n">
        <v>89</v>
      </c>
      <c r="I93" s="1" t="n">
        <f aca="false">0.409*SIN(2*PI()*H93/365-1.39)</f>
        <v>0.0579090751045833</v>
      </c>
      <c r="J93" s="1" t="n">
        <f aca="false">ACOS(-TAN(RADIANS(Dashboard!$B$53))*TAN(I93))</f>
        <v>1.58796982069897</v>
      </c>
      <c r="K93" s="1" t="n">
        <f aca="false">(24*60/PI())*0.082*(1+0.033*COS(2*PI()*H93/365))*(J93*SIN(RADIANS(Dashboard!$B$53))*SIN(I93)+COS(RADIANS(Dashboard!$B$53))*COS(I93)*SIN(J93))</f>
        <v>37.0008369461451</v>
      </c>
      <c r="L93" s="1" t="n">
        <f aca="false">24/PI()*J93</f>
        <v>12.1311958293596</v>
      </c>
    </row>
    <row r="94" customFormat="false" ht="15" hidden="false" customHeight="true" outlineLevel="0" collapsed="false">
      <c r="A94" s="1" t="str">
        <f aca="false">IF(OR(A93="",A93&gt;=Dashboard!$B$55),"",A93+1)</f>
        <v/>
      </c>
      <c r="B94" s="1" t="str">
        <f aca="false">IF(A94="","",A94-DATE(YEAR(A94),1,0))</f>
        <v/>
      </c>
      <c r="C94" s="1" t="str">
        <f aca="false">IF(A94="","",0.409*SIN(2*PI()*B94/365-1.39))</f>
        <v/>
      </c>
      <c r="D94" s="1" t="str">
        <f aca="false">IF(A94="","",ACOS(-TAN(RADIANS(Dashboard!$B$53))*TAN(C94)))</f>
        <v/>
      </c>
      <c r="E94" s="1" t="str">
        <f aca="false">IF(A94="","",(24*60/PI())*0.082*(1+0.033*COS(2*PI()*B94/365))*(D94*SIN(RADIANS(Dashboard!$B$53))*SIN(C94)+COS(RADIANS(Dashboard!$B$53))*COS(C94)*SIN(D94)))</f>
        <v/>
      </c>
      <c r="F94" s="1" t="str">
        <f aca="false">IF(A94="","",24/PI()*D94)</f>
        <v/>
      </c>
      <c r="H94" s="1" t="n">
        <v>90</v>
      </c>
      <c r="I94" s="1" t="n">
        <f aca="false">0.409*SIN(2*PI()*H94/365-1.39)</f>
        <v>0.064869833036749</v>
      </c>
      <c r="J94" s="1" t="n">
        <f aca="false">ACOS(-TAN(RADIANS(Dashboard!$B$53))*TAN(I94))</f>
        <v>1.59003983316464</v>
      </c>
      <c r="K94" s="1" t="n">
        <f aca="false">(24*60/PI())*0.082*(1+0.033*COS(2*PI()*H94/365))*(J94*SIN(RADIANS(Dashboard!$B$53))*SIN(I94)+COS(RADIANS(Dashboard!$B$53))*COS(I94)*SIN(J94))</f>
        <v>37.0823899641355</v>
      </c>
      <c r="L94" s="1" t="n">
        <f aca="false">24/PI()*J94</f>
        <v>12.147009559736</v>
      </c>
    </row>
    <row r="95" customFormat="false" ht="15" hidden="false" customHeight="true" outlineLevel="0" collapsed="false">
      <c r="A95" s="1" t="str">
        <f aca="false">IF(OR(A94="",A94&gt;=Dashboard!$B$55),"",A94+1)</f>
        <v/>
      </c>
      <c r="B95" s="1" t="str">
        <f aca="false">IF(A95="","",A95-DATE(YEAR(A95),1,0))</f>
        <v/>
      </c>
      <c r="C95" s="1" t="str">
        <f aca="false">IF(A95="","",0.409*SIN(2*PI()*B95/365-1.39))</f>
        <v/>
      </c>
      <c r="D95" s="1" t="str">
        <f aca="false">IF(A95="","",ACOS(-TAN(RADIANS(Dashboard!$B$53))*TAN(C95)))</f>
        <v/>
      </c>
      <c r="E95" s="1" t="str">
        <f aca="false">IF(A95="","",(24*60/PI())*0.082*(1+0.033*COS(2*PI()*B95/365))*(D95*SIN(RADIANS(Dashboard!$B$53))*SIN(C95)+COS(RADIANS(Dashboard!$B$53))*COS(C95)*SIN(D95)))</f>
        <v/>
      </c>
      <c r="F95" s="1" t="str">
        <f aca="false">IF(A95="","",24/PI()*D95)</f>
        <v/>
      </c>
      <c r="H95" s="1" t="n">
        <v>91</v>
      </c>
      <c r="I95" s="1" t="n">
        <f aca="false">0.409*SIN(2*PI()*H95/365-1.39)</f>
        <v>0.0718113686373804</v>
      </c>
      <c r="J95" s="1" t="n">
        <f aca="false">ACOS(-TAN(RADIANS(Dashboard!$B$53))*TAN(I95))</f>
        <v>1.59210607643389</v>
      </c>
      <c r="K95" s="1" t="n">
        <f aca="false">(24*60/PI())*0.082*(1+0.033*COS(2*PI()*H95/365))*(J95*SIN(RADIANS(Dashboard!$B$53))*SIN(I95)+COS(RADIANS(Dashboard!$B$53))*COS(I95)*SIN(J95))</f>
        <v>37.1619011480787</v>
      </c>
      <c r="L95" s="1" t="n">
        <f aca="false">24/PI()*J95</f>
        <v>12.1627944955727</v>
      </c>
    </row>
    <row r="96" customFormat="false" ht="15" hidden="false" customHeight="true" outlineLevel="0" collapsed="false">
      <c r="A96" s="1" t="str">
        <f aca="false">IF(OR(A95="",A95&gt;=Dashboard!$B$55),"",A95+1)</f>
        <v/>
      </c>
      <c r="B96" s="1" t="str">
        <f aca="false">IF(A96="","",A96-DATE(YEAR(A96),1,0))</f>
        <v/>
      </c>
      <c r="C96" s="1" t="str">
        <f aca="false">IF(A96="","",0.409*SIN(2*PI()*B96/365-1.39))</f>
        <v/>
      </c>
      <c r="D96" s="1" t="str">
        <f aca="false">IF(A96="","",ACOS(-TAN(RADIANS(Dashboard!$B$53))*TAN(C96)))</f>
        <v/>
      </c>
      <c r="E96" s="1" t="str">
        <f aca="false">IF(A96="","",(24*60/PI())*0.082*(1+0.033*COS(2*PI()*B96/365))*(D96*SIN(RADIANS(Dashboard!$B$53))*SIN(C96)+COS(RADIANS(Dashboard!$B$53))*COS(C96)*SIN(D96)))</f>
        <v/>
      </c>
      <c r="F96" s="1" t="str">
        <f aca="false">IF(A96="","",24/PI()*D96)</f>
        <v/>
      </c>
      <c r="H96" s="1" t="n">
        <v>92</v>
      </c>
      <c r="I96" s="1" t="n">
        <f aca="false">0.409*SIN(2*PI()*H96/365-1.39)</f>
        <v>0.0787316249796682</v>
      </c>
      <c r="J96" s="1" t="n">
        <f aca="false">ACOS(-TAN(RADIANS(Dashboard!$B$53))*TAN(I96))</f>
        <v>1.59416813123787</v>
      </c>
      <c r="K96" s="1" t="n">
        <f aca="false">(24*60/PI())*0.082*(1+0.033*COS(2*PI()*H96/365))*(J96*SIN(RADIANS(Dashboard!$B$53))*SIN(I96)+COS(RADIANS(Dashboard!$B$53))*COS(I96)*SIN(J96))</f>
        <v>37.2393598726188</v>
      </c>
      <c r="L96" s="1" t="n">
        <f aca="false">24/PI()*J96</f>
        <v>12.1785474338916</v>
      </c>
    </row>
    <row r="97" customFormat="false" ht="15" hidden="false" customHeight="true" outlineLevel="0" collapsed="false">
      <c r="A97" s="1" t="str">
        <f aca="false">IF(OR(A96="",A96&gt;=Dashboard!$B$55),"",A96+1)</f>
        <v/>
      </c>
      <c r="B97" s="1" t="str">
        <f aca="false">IF(A97="","",A97-DATE(YEAR(A97),1,0))</f>
        <v/>
      </c>
      <c r="C97" s="1" t="str">
        <f aca="false">IF(A97="","",0.409*SIN(2*PI()*B97/365-1.39))</f>
        <v/>
      </c>
      <c r="D97" s="1" t="str">
        <f aca="false">IF(A97="","",ACOS(-TAN(RADIANS(Dashboard!$B$53))*TAN(C97)))</f>
        <v/>
      </c>
      <c r="E97" s="1" t="str">
        <f aca="false">IF(A97="","",(24*60/PI())*0.082*(1+0.033*COS(2*PI()*B97/365))*(D97*SIN(RADIANS(Dashboard!$B$53))*SIN(C97)+COS(RADIANS(Dashboard!$B$53))*COS(C97)*SIN(D97)))</f>
        <v/>
      </c>
      <c r="F97" s="1" t="str">
        <f aca="false">IF(A97="","",24/PI()*D97)</f>
        <v/>
      </c>
      <c r="H97" s="1" t="n">
        <v>93</v>
      </c>
      <c r="I97" s="1" t="n">
        <f aca="false">0.409*SIN(2*PI()*H97/365-1.39)</f>
        <v>0.0856285514423069</v>
      </c>
      <c r="J97" s="1" t="n">
        <f aca="false">ACOS(-TAN(RADIANS(Dashboard!$B$53))*TAN(I97))</f>
        <v>1.59622557471197</v>
      </c>
      <c r="K97" s="1" t="n">
        <f aca="false">(24*60/PI())*0.082*(1+0.033*COS(2*PI()*H97/365))*(J97*SIN(RADIANS(Dashboard!$B$53))*SIN(I97)+COS(RADIANS(Dashboard!$B$53))*COS(I97)*SIN(J97))</f>
        <v>37.3147577876235</v>
      </c>
      <c r="L97" s="1" t="n">
        <f aca="false">24/PI()*J97</f>
        <v>12.1942651442454</v>
      </c>
    </row>
    <row r="98" customFormat="false" ht="15" hidden="false" customHeight="true" outlineLevel="0" collapsed="false">
      <c r="A98" s="1" t="str">
        <f aca="false">IF(OR(A97="",A97&gt;=Dashboard!$B$55),"",A97+1)</f>
        <v/>
      </c>
      <c r="B98" s="1" t="str">
        <f aca="false">IF(A98="","",A98-DATE(YEAR(A98),1,0))</f>
        <v/>
      </c>
      <c r="C98" s="1" t="str">
        <f aca="false">IF(A98="","",0.409*SIN(2*PI()*B98/365-1.39))</f>
        <v/>
      </c>
      <c r="D98" s="1" t="str">
        <f aca="false">IF(A98="","",ACOS(-TAN(RADIANS(Dashboard!$B$53))*TAN(C98)))</f>
        <v/>
      </c>
      <c r="E98" s="1" t="str">
        <f aca="false">IF(A98="","",(24*60/PI())*0.082*(1+0.033*COS(2*PI()*B98/365))*(D98*SIN(RADIANS(Dashboard!$B$53))*SIN(C98)+COS(RADIANS(Dashboard!$B$53))*COS(C98)*SIN(D98)))</f>
        <v/>
      </c>
      <c r="F98" s="1" t="str">
        <f aca="false">IF(A98="","",24/PI()*D98)</f>
        <v/>
      </c>
      <c r="H98" s="1" t="n">
        <v>94</v>
      </c>
      <c r="I98" s="1" t="n">
        <f aca="false">0.409*SIN(2*PI()*H98/365-1.39)</f>
        <v>0.0925001043171379</v>
      </c>
      <c r="J98" s="1" t="n">
        <f aca="false">ACOS(-TAN(RADIANS(Dashboard!$B$53))*TAN(I98))</f>
        <v>1.59827798007826</v>
      </c>
      <c r="K98" s="1" t="n">
        <f aca="false">(24*60/PI())*0.082*(1+0.033*COS(2*PI()*H98/365))*(J98*SIN(RADIANS(Dashboard!$B$53))*SIN(I98)+COS(RADIANS(Dashboard!$B$53))*COS(I98)*SIN(J98))</f>
        <v>37.3880888018826</v>
      </c>
      <c r="L98" s="1" t="n">
        <f aca="false">24/PI()*J98</f>
        <v>12.2099443662905</v>
      </c>
    </row>
    <row r="99" customFormat="false" ht="15" hidden="false" customHeight="true" outlineLevel="0" collapsed="false">
      <c r="A99" s="1" t="str">
        <f aca="false">IF(OR(A98="",A98&gt;=Dashboard!$B$55),"",A98+1)</f>
        <v/>
      </c>
      <c r="B99" s="1" t="str">
        <f aca="false">IF(A99="","",A99-DATE(YEAR(A99),1,0))</f>
        <v/>
      </c>
      <c r="C99" s="1" t="str">
        <f aca="false">IF(A99="","",0.409*SIN(2*PI()*B99/365-1.39))</f>
        <v/>
      </c>
      <c r="D99" s="1" t="str">
        <f aca="false">IF(A99="","",ACOS(-TAN(RADIANS(Dashboard!$B$53))*TAN(C99)))</f>
        <v/>
      </c>
      <c r="E99" s="1" t="str">
        <f aca="false">IF(A99="","",(24*60/PI())*0.082*(1+0.033*COS(2*PI()*B99/365))*(D99*SIN(RADIANS(Dashboard!$B$53))*SIN(C99)+COS(RADIANS(Dashboard!$B$53))*COS(C99)*SIN(D99)))</f>
        <v/>
      </c>
      <c r="F99" s="1" t="str">
        <f aca="false">IF(A99="","",24/PI()*D99)</f>
        <v/>
      </c>
      <c r="H99" s="1" t="n">
        <v>95</v>
      </c>
      <c r="I99" s="1" t="n">
        <f aca="false">0.409*SIN(2*PI()*H99/365-1.39)</f>
        <v>0.0993442474147438</v>
      </c>
      <c r="J99" s="1" t="n">
        <f aca="false">ACOS(-TAN(RADIANS(Dashboard!$B$53))*TAN(I99))</f>
        <v>1.60032491633717</v>
      </c>
      <c r="K99" s="1" t="n">
        <f aca="false">(24*60/PI())*0.082*(1+0.033*COS(2*PI()*H99/365))*(J99*SIN(RADIANS(Dashboard!$B$53))*SIN(I99)+COS(RADIANS(Dashboard!$B$53))*COS(I99)*SIN(J99))</f>
        <v>37.4593490636368</v>
      </c>
      <c r="L99" s="1" t="n">
        <f aca="false">24/PI()*J99</f>
        <v>12.2255818074329</v>
      </c>
    </row>
    <row r="100" customFormat="false" ht="15" hidden="false" customHeight="true" outlineLevel="0" collapsed="false">
      <c r="A100" s="1" t="str">
        <f aca="false">IF(OR(A99="",A99&gt;=Dashboard!$B$55),"",A99+1)</f>
        <v/>
      </c>
      <c r="B100" s="1" t="str">
        <f aca="false">IF(A100="","",A100-DATE(YEAR(A100),1,0))</f>
        <v/>
      </c>
      <c r="C100" s="1" t="str">
        <f aca="false">IF(A100="","",0.409*SIN(2*PI()*B100/365-1.39))</f>
        <v/>
      </c>
      <c r="D100" s="1" t="str">
        <f aca="false">IF(A100="","",ACOS(-TAN(RADIANS(Dashboard!$B$53))*TAN(C100)))</f>
        <v/>
      </c>
      <c r="E100" s="1" t="str">
        <f aca="false">IF(A100="","",(24*60/PI())*0.082*(1+0.033*COS(2*PI()*B100/365))*(D100*SIN(RADIANS(Dashboard!$B$53))*SIN(C100)+COS(RADIANS(Dashboard!$B$53))*COS(C100)*SIN(D100)))</f>
        <v/>
      </c>
      <c r="F100" s="1" t="str">
        <f aca="false">IF(A100="","",24/PI()*D100)</f>
        <v/>
      </c>
      <c r="H100" s="1" t="n">
        <v>96</v>
      </c>
      <c r="I100" s="1" t="n">
        <f aca="false">0.409*SIN(2*PI()*H100/365-1.39)</f>
        <v>0.106158952667816</v>
      </c>
      <c r="J100" s="1" t="n">
        <f aca="false">ACOS(-TAN(RADIANS(Dashboard!$B$53))*TAN(I100))</f>
        <v>1.60236594796945</v>
      </c>
      <c r="K100" s="1" t="n">
        <f aca="false">(24*60/PI())*0.082*(1+0.033*COS(2*PI()*H100/365))*(J100*SIN(RADIANS(Dashboard!$B$53))*SIN(I100)+COS(RADIANS(Dashboard!$B$53))*COS(I100)*SIN(J100))</f>
        <v>37.5285369379854</v>
      </c>
      <c r="L100" s="1" t="n">
        <f aca="false">24/PI()*J100</f>
        <v>12.2411741405505</v>
      </c>
    </row>
    <row r="101" customFormat="false" ht="15" hidden="false" customHeight="true" outlineLevel="0" collapsed="false">
      <c r="A101" s="1" t="str">
        <f aca="false">IF(OR(A100="",A100&gt;=Dashboard!$B$55),"",A100+1)</f>
        <v/>
      </c>
      <c r="B101" s="1" t="str">
        <f aca="false">IF(A101="","",A101-DATE(YEAR(A101),1,0))</f>
        <v/>
      </c>
      <c r="C101" s="1" t="str">
        <f aca="false">IF(A101="","",0.409*SIN(2*PI()*B101/365-1.39))</f>
        <v/>
      </c>
      <c r="D101" s="1" t="str">
        <f aca="false">IF(A101="","",ACOS(-TAN(RADIANS(Dashboard!$B$53))*TAN(C101)))</f>
        <v/>
      </c>
      <c r="E101" s="1" t="str">
        <f aca="false">IF(A101="","",(24*60/PI())*0.082*(1+0.033*COS(2*PI()*B101/365))*(D101*SIN(RADIANS(Dashboard!$B$53))*SIN(C101)+COS(RADIANS(Dashboard!$B$53))*COS(C101)*SIN(D101)))</f>
        <v/>
      </c>
      <c r="F101" s="1" t="str">
        <f aca="false">IF(A101="","",24/PI()*D101)</f>
        <v/>
      </c>
      <c r="H101" s="1" t="n">
        <v>97</v>
      </c>
      <c r="I101" s="1" t="n">
        <f aca="false">0.409*SIN(2*PI()*H101/365-1.39)</f>
        <v>0.112942200732116</v>
      </c>
      <c r="J101" s="1" t="n">
        <f aca="false">ACOS(-TAN(RADIANS(Dashboard!$B$53))*TAN(I101))</f>
        <v>1.60440063464923</v>
      </c>
      <c r="K101" s="1" t="n">
        <f aca="false">(24*60/PI())*0.082*(1+0.033*COS(2*PI()*H101/365))*(J101*SIN(RADIANS(Dashboard!$B$53))*SIN(I101)+COS(RADIANS(Dashboard!$B$53))*COS(I101)*SIN(J101))</f>
        <v>37.5956529812261</v>
      </c>
      <c r="L101" s="1" t="n">
        <f aca="false">24/PI()*J101</f>
        <v>12.2567180018016</v>
      </c>
    </row>
    <row r="102" customFormat="false" ht="15" hidden="false" customHeight="true" outlineLevel="0" collapsed="false">
      <c r="A102" s="1" t="str">
        <f aca="false">IF(OR(A101="",A101&gt;=Dashboard!$B$55),"",A101+1)</f>
        <v/>
      </c>
      <c r="B102" s="1" t="str">
        <f aca="false">IF(A102="","",A102-DATE(YEAR(A102),1,0))</f>
        <v/>
      </c>
      <c r="C102" s="1" t="str">
        <f aca="false">IF(A102="","",0.409*SIN(2*PI()*B102/365-1.39))</f>
        <v/>
      </c>
      <c r="D102" s="1" t="str">
        <f aca="false">IF(A102="","",ACOS(-TAN(RADIANS(Dashboard!$B$53))*TAN(C102)))</f>
        <v/>
      </c>
      <c r="E102" s="1" t="str">
        <f aca="false">IF(A102="","",(24*60/PI())*0.082*(1+0.033*COS(2*PI()*B102/365))*(D102*SIN(RADIANS(Dashboard!$B$53))*SIN(C102)+COS(RADIANS(Dashboard!$B$53))*COS(C102)*SIN(D102)))</f>
        <v/>
      </c>
      <c r="F102" s="1" t="str">
        <f aca="false">IF(A102="","",24/PI()*D102)</f>
        <v/>
      </c>
      <c r="H102" s="1" t="n">
        <v>98</v>
      </c>
      <c r="I102" s="1" t="n">
        <f aca="false">0.409*SIN(2*PI()*H102/365-1.39)</f>
        <v>0.119691981584845</v>
      </c>
      <c r="J102" s="1" t="n">
        <f aca="false">ACOS(-TAN(RADIANS(Dashboard!$B$53))*TAN(I102))</f>
        <v>1.60642853096914</v>
      </c>
      <c r="K102" s="1" t="n">
        <f aca="false">(24*60/PI())*0.082*(1+0.033*COS(2*PI()*H102/365))*(J102*SIN(RADIANS(Dashboard!$B$53))*SIN(I102)+COS(RADIANS(Dashboard!$B$53))*COS(I102)*SIN(J102))</f>
        <v>37.6606999121849</v>
      </c>
      <c r="L102" s="1" t="n">
        <f aca="false">24/PI()*J102</f>
        <v>12.2722099885244</v>
      </c>
    </row>
    <row r="103" customFormat="false" ht="15" hidden="false" customHeight="true" outlineLevel="0" collapsed="false">
      <c r="A103" s="1" t="str">
        <f aca="false">IF(OR(A102="",A102&gt;=Dashboard!$B$55),"",A102+1)</f>
        <v/>
      </c>
      <c r="B103" s="1" t="str">
        <f aca="false">IF(A103="","",A103-DATE(YEAR(A103),1,0))</f>
        <v/>
      </c>
      <c r="C103" s="1" t="str">
        <f aca="false">IF(A103="","",0.409*SIN(2*PI()*B103/365-1.39))</f>
        <v/>
      </c>
      <c r="D103" s="1" t="str">
        <f aca="false">IF(A103="","",ACOS(-TAN(RADIANS(Dashboard!$B$53))*TAN(C103)))</f>
        <v/>
      </c>
      <c r="E103" s="1" t="str">
        <f aca="false">IF(A103="","",(24*60/PI())*0.082*(1+0.033*COS(2*PI()*B103/365))*(D103*SIN(RADIANS(Dashboard!$B$53))*SIN(C103)+COS(RADIANS(Dashboard!$B$53))*COS(C103)*SIN(D103)))</f>
        <v/>
      </c>
      <c r="F103" s="1" t="str">
        <f aca="false">IF(A103="","",24/PI()*D103)</f>
        <v/>
      </c>
      <c r="H103" s="1" t="n">
        <v>99</v>
      </c>
      <c r="I103" s="1" t="n">
        <f aca="false">0.409*SIN(2*PI()*H103/365-1.39)</f>
        <v>0.126406295120267</v>
      </c>
      <c r="J103" s="1" t="n">
        <f aca="false">ACOS(-TAN(RADIANS(Dashboard!$B$53))*TAN(I103))</f>
        <v>1.60844918617822</v>
      </c>
      <c r="K103" s="1" t="n">
        <f aca="false">(24*60/PI())*0.082*(1+0.033*COS(2*PI()*H103/365))*(J103*SIN(RADIANS(Dashboard!$B$53))*SIN(I103)+COS(RADIANS(Dashboard!$B$53))*COS(I103)*SIN(J103))</f>
        <v>37.7236825806011</v>
      </c>
      <c r="L103" s="1" t="n">
        <f aca="false">24/PI()*J103</f>
        <v>12.2876466572352</v>
      </c>
    </row>
    <row r="104" customFormat="false" ht="15" hidden="false" customHeight="true" outlineLevel="0" collapsed="false">
      <c r="A104" s="1" t="str">
        <f aca="false">IF(OR(A103="",A103&gt;=Dashboard!$B$55),"",A103+1)</f>
        <v/>
      </c>
      <c r="B104" s="1" t="str">
        <f aca="false">IF(A104="","",A104-DATE(YEAR(A104),1,0))</f>
        <v/>
      </c>
      <c r="C104" s="1" t="str">
        <f aca="false">IF(A104="","",0.409*SIN(2*PI()*B104/365-1.39))</f>
        <v/>
      </c>
      <c r="D104" s="1" t="str">
        <f aca="false">IF(A104="","",ACOS(-TAN(RADIANS(Dashboard!$B$53))*TAN(C104)))</f>
        <v/>
      </c>
      <c r="E104" s="1" t="str">
        <f aca="false">IF(A104="","",(24*60/PI())*0.082*(1+0.033*COS(2*PI()*B104/365))*(D104*SIN(RADIANS(Dashboard!$B$53))*SIN(C104)+COS(RADIANS(Dashboard!$B$53))*COS(C104)*SIN(D104)))</f>
        <v/>
      </c>
      <c r="F104" s="1" t="str">
        <f aca="false">IF(A104="","",24/PI()*D104)</f>
        <v/>
      </c>
      <c r="H104" s="1" t="n">
        <v>100</v>
      </c>
      <c r="I104" s="1" t="n">
        <f aca="false">0.409*SIN(2*PI()*H104/365-1.39)</f>
        <v>0.133083151742374</v>
      </c>
      <c r="J104" s="1" t="n">
        <f aca="false">ACOS(-TAN(RADIANS(Dashboard!$B$53))*TAN(I104))</f>
        <v>1.61046214393381</v>
      </c>
      <c r="K104" s="1" t="n">
        <f aca="false">(24*60/PI())*0.082*(1+0.033*COS(2*PI()*H104/365))*(J104*SIN(RADIANS(Dashboard!$B$53))*SIN(I104)+COS(RADIANS(Dashboard!$B$53))*COS(I104)*SIN(J104))</f>
        <v>37.7846079326371</v>
      </c>
      <c r="L104" s="1" t="n">
        <f aca="false">24/PI()*J104</f>
        <v>12.303024521733</v>
      </c>
    </row>
    <row r="105" customFormat="false" ht="15" hidden="false" customHeight="true" outlineLevel="0" collapsed="false">
      <c r="A105" s="1" t="str">
        <f aca="false">IF(OR(A104="",A104&gt;=Dashboard!$B$55),"",A104+1)</f>
        <v/>
      </c>
      <c r="B105" s="1" t="str">
        <f aca="false">IF(A105="","",A105-DATE(YEAR(A105),1,0))</f>
        <v/>
      </c>
      <c r="C105" s="1" t="str">
        <f aca="false">IF(A105="","",0.409*SIN(2*PI()*B105/365-1.39))</f>
        <v/>
      </c>
      <c r="D105" s="1" t="str">
        <f aca="false">IF(A105="","",ACOS(-TAN(RADIANS(Dashboard!$B$53))*TAN(C105)))</f>
        <v/>
      </c>
      <c r="E105" s="1" t="str">
        <f aca="false">IF(A105="","",(24*60/PI())*0.082*(1+0.033*COS(2*PI()*B105/365))*(D105*SIN(RADIANS(Dashboard!$B$53))*SIN(C105)+COS(RADIANS(Dashboard!$B$53))*COS(C105)*SIN(D105)))</f>
        <v/>
      </c>
      <c r="F105" s="1" t="str">
        <f aca="false">IF(A105="","",24/PI()*D105)</f>
        <v/>
      </c>
      <c r="H105" s="1" t="n">
        <v>101</v>
      </c>
      <c r="I105" s="1" t="n">
        <f aca="false">0.409*SIN(2*PI()*H105/365-1.39)</f>
        <v>0.139720572954449</v>
      </c>
      <c r="J105" s="1" t="n">
        <f aca="false">ACOS(-TAN(RADIANS(Dashboard!$B$53))*TAN(I105))</f>
        <v>1.61246694206808</v>
      </c>
      <c r="K105" s="1" t="n">
        <f aca="false">(24*60/PI())*0.082*(1+0.033*COS(2*PI()*H105/365))*(J105*SIN(RADIANS(Dashboard!$B$53))*SIN(I105)+COS(RADIANS(Dashboard!$B$53))*COS(I105)*SIN(J105))</f>
        <v>37.843484973588</v>
      </c>
      <c r="L105" s="1" t="n">
        <f aca="false">24/PI()*J105</f>
        <v>12.3183400513156</v>
      </c>
    </row>
    <row r="106" customFormat="false" ht="15" hidden="false" customHeight="true" outlineLevel="0" collapsed="false">
      <c r="A106" s="1" t="str">
        <f aca="false">IF(OR(A105="",A105&gt;=Dashboard!$B$55),"",A105+1)</f>
        <v/>
      </c>
      <c r="B106" s="1" t="str">
        <f aca="false">IF(A106="","",A106-DATE(YEAR(A106),1,0))</f>
        <v/>
      </c>
      <c r="C106" s="1" t="str">
        <f aca="false">IF(A106="","",0.409*SIN(2*PI()*B106/365-1.39))</f>
        <v/>
      </c>
      <c r="D106" s="1" t="str">
        <f aca="false">IF(A106="","",ACOS(-TAN(RADIANS(Dashboard!$B$53))*TAN(C106)))</f>
        <v/>
      </c>
      <c r="E106" s="1" t="str">
        <f aca="false">IF(A106="","",(24*60/PI())*0.082*(1+0.033*COS(2*PI()*B106/365))*(D106*SIN(RADIANS(Dashboard!$B$53))*SIN(C106)+COS(RADIANS(Dashboard!$B$53))*COS(C106)*SIN(D106)))</f>
        <v/>
      </c>
      <c r="F106" s="1" t="str">
        <f aca="false">IF(A106="","",24/PI()*D106)</f>
        <v/>
      </c>
      <c r="H106" s="1" t="n">
        <v>102</v>
      </c>
      <c r="I106" s="1" t="n">
        <f aca="false">0.409*SIN(2*PI()*H106/365-1.39)</f>
        <v>0.146316591945341</v>
      </c>
      <c r="J106" s="1" t="n">
        <f aca="false">ACOS(-TAN(RADIANS(Dashboard!$B$53))*TAN(I106))</f>
        <v>1.6144631123703</v>
      </c>
      <c r="K106" s="1" t="n">
        <f aca="false">(24*60/PI())*0.082*(1+0.033*COS(2*PI()*H106/365))*(J106*SIN(RADIANS(Dashboard!$B$53))*SIN(I106)+COS(RADIANS(Dashboard!$B$53))*COS(I106)*SIN(J106))</f>
        <v>37.9003247278719</v>
      </c>
      <c r="L106" s="1" t="n">
        <f aca="false">24/PI()*J106</f>
        <v>12.3335896691165</v>
      </c>
    </row>
    <row r="107" customFormat="false" ht="15" hidden="false" customHeight="true" outlineLevel="0" collapsed="false">
      <c r="A107" s="1" t="str">
        <f aca="false">IF(OR(A106="",A106&gt;=Dashboard!$B$55),"",A106+1)</f>
        <v/>
      </c>
      <c r="B107" s="1" t="str">
        <f aca="false">IF(A107="","",A107-DATE(YEAR(A107),1,0))</f>
        <v/>
      </c>
      <c r="C107" s="1" t="str">
        <f aca="false">IF(A107="","",0.409*SIN(2*PI()*B107/365-1.39))</f>
        <v/>
      </c>
      <c r="D107" s="1" t="str">
        <f aca="false">IF(A107="","",ACOS(-TAN(RADIANS(Dashboard!$B$53))*TAN(C107)))</f>
        <v/>
      </c>
      <c r="E107" s="1" t="str">
        <f aca="false">IF(A107="","",(24*60/PI())*0.082*(1+0.033*COS(2*PI()*B107/365))*(D107*SIN(RADIANS(Dashboard!$B$53))*SIN(C107)+COS(RADIANS(Dashboard!$B$53))*COS(C107)*SIN(D107)))</f>
        <v/>
      </c>
      <c r="F107" s="1" t="str">
        <f aca="false">IF(A107="","",24/PI()*D107)</f>
        <v/>
      </c>
      <c r="H107" s="1" t="n">
        <v>103</v>
      </c>
      <c r="I107" s="1" t="n">
        <f aca="false">0.409*SIN(2*PI()*H107/365-1.39)</f>
        <v>0.152869254172269</v>
      </c>
      <c r="J107" s="1" t="n">
        <f aca="false">ACOS(-TAN(RADIANS(Dashboard!$B$53))*TAN(I107))</f>
        <v>1.61645018038574</v>
      </c>
      <c r="K107" s="1" t="n">
        <f aca="false">(24*60/PI())*0.082*(1+0.033*COS(2*PI()*H107/365))*(J107*SIN(RADIANS(Dashboard!$B$53))*SIN(I107)+COS(RADIANS(Dashboard!$B$53))*COS(I107)*SIN(J107))</f>
        <v>37.9551401963843</v>
      </c>
      <c r="L107" s="1" t="n">
        <f aca="false">24/PI()*J107</f>
        <v>12.3487697505685</v>
      </c>
    </row>
    <row r="108" customFormat="false" ht="15" hidden="false" customHeight="true" outlineLevel="0" collapsed="false">
      <c r="A108" s="1" t="str">
        <f aca="false">IF(OR(A107="",A107&gt;=Dashboard!$B$55),"",A107+1)</f>
        <v/>
      </c>
      <c r="B108" s="1" t="str">
        <f aca="false">IF(A108="","",A108-DATE(YEAR(A108),1,0))</f>
        <v/>
      </c>
      <c r="C108" s="1" t="str">
        <f aca="false">IF(A108="","",0.409*SIN(2*PI()*B108/365-1.39))</f>
        <v/>
      </c>
      <c r="D108" s="1" t="str">
        <f aca="false">IF(A108="","",ACOS(-TAN(RADIANS(Dashboard!$B$53))*TAN(C108)))</f>
        <v/>
      </c>
      <c r="E108" s="1" t="str">
        <f aca="false">IF(A108="","",(24*60/PI())*0.082*(1+0.033*COS(2*PI()*B108/365))*(D108*SIN(RADIANS(Dashboard!$B$53))*SIN(C108)+COS(RADIANS(Dashboard!$B$53))*COS(C108)*SIN(D108)))</f>
        <v/>
      </c>
      <c r="F108" s="1" t="str">
        <f aca="false">IF(A108="","",24/PI()*D108)</f>
        <v/>
      </c>
      <c r="H108" s="1" t="n">
        <v>104</v>
      </c>
      <c r="I108" s="1" t="n">
        <f aca="false">0.409*SIN(2*PI()*H108/365-1.39)</f>
        <v>0.159376617939998</v>
      </c>
      <c r="J108" s="1" t="n">
        <f aca="false">ACOS(-TAN(RADIANS(Dashboard!$B$53))*TAN(I108))</f>
        <v>1.61842766523209</v>
      </c>
      <c r="K108" s="1" t="n">
        <f aca="false">(24*60/PI())*0.082*(1+0.033*COS(2*PI()*H108/365))*(J108*SIN(RADIANS(Dashboard!$B$53))*SIN(I108)+COS(RADIANS(Dashboard!$B$53))*COS(I108)*SIN(J108))</f>
        <v>38.0079463113065</v>
      </c>
      <c r="L108" s="1" t="n">
        <f aca="false">24/PI()*J108</f>
        <v>12.3638766220014</v>
      </c>
    </row>
    <row r="109" customFormat="false" ht="15" hidden="false" customHeight="true" outlineLevel="0" collapsed="false">
      <c r="A109" s="1" t="str">
        <f aca="false">IF(OR(A108="",A108&gt;=Dashboard!$B$55),"",A108+1)</f>
        <v/>
      </c>
      <c r="B109" s="1" t="str">
        <f aca="false">IF(A109="","",A109-DATE(YEAR(A109),1,0))</f>
        <v/>
      </c>
      <c r="C109" s="1" t="str">
        <f aca="false">IF(A109="","",0.409*SIN(2*PI()*B109/365-1.39))</f>
        <v/>
      </c>
      <c r="D109" s="1" t="str">
        <f aca="false">IF(A109="","",ACOS(-TAN(RADIANS(Dashboard!$B$53))*TAN(C109)))</f>
        <v/>
      </c>
      <c r="E109" s="1" t="str">
        <f aca="false">IF(A109="","",(24*60/PI())*0.082*(1+0.033*COS(2*PI()*B109/365))*(D109*SIN(RADIANS(Dashboard!$B$53))*SIN(C109)+COS(RADIANS(Dashboard!$B$53))*COS(C109)*SIN(D109)))</f>
        <v/>
      </c>
      <c r="F109" s="1" t="str">
        <f aca="false">IF(A109="","",24/PI()*D109)</f>
        <v/>
      </c>
      <c r="H109" s="1" t="n">
        <v>105</v>
      </c>
      <c r="I109" s="1" t="n">
        <f aca="false">0.409*SIN(2*PI()*H109/365-1.39)</f>
        <v>0.165836754976201</v>
      </c>
      <c r="J109" s="1" t="n">
        <f aca="false">ACOS(-TAN(RADIANS(Dashboard!$B$53))*TAN(I109))</f>
        <v>1.62039507943443</v>
      </c>
      <c r="K109" s="1" t="n">
        <f aca="false">(24*60/PI())*0.082*(1+0.033*COS(2*PI()*H109/365))*(J109*SIN(RADIANS(Dashboard!$B$53))*SIN(I109)+COS(RADIANS(Dashboard!$B$53))*COS(I109)*SIN(J109))</f>
        <v>38.0587598884622</v>
      </c>
      <c r="L109" s="1" t="n">
        <f aca="false">24/PI()*J109</f>
        <v>12.3789065593812</v>
      </c>
    </row>
    <row r="110" customFormat="false" ht="15" hidden="false" customHeight="true" outlineLevel="0" collapsed="false">
      <c r="A110" s="1" t="str">
        <f aca="false">IF(OR(A109="",A109&gt;=Dashboard!$B$55),"",A109+1)</f>
        <v/>
      </c>
      <c r="B110" s="1" t="str">
        <f aca="false">IF(A110="","",A110-DATE(YEAR(A110),1,0))</f>
        <v/>
      </c>
      <c r="C110" s="1" t="str">
        <f aca="false">IF(A110="","",0.409*SIN(2*PI()*B110/365-1.39))</f>
        <v/>
      </c>
      <c r="D110" s="1" t="str">
        <f aca="false">IF(A110="","",ACOS(-TAN(RADIANS(Dashboard!$B$53))*TAN(C110)))</f>
        <v/>
      </c>
      <c r="E110" s="1" t="str">
        <f aca="false">IF(A110="","",(24*60/PI())*0.082*(1+0.033*COS(2*PI()*B110/365))*(D110*SIN(RADIANS(Dashboard!$B$53))*SIN(C110)+COS(RADIANS(Dashboard!$B$53))*COS(C110)*SIN(D110)))</f>
        <v/>
      </c>
      <c r="F110" s="1" t="str">
        <f aca="false">IF(A110="","",24/PI()*D110)</f>
        <v/>
      </c>
      <c r="H110" s="1" t="n">
        <v>106</v>
      </c>
      <c r="I110" s="1" t="n">
        <f aca="false">0.409*SIN(2*PI()*H110/365-1.39)</f>
        <v>0.172247751002855</v>
      </c>
      <c r="J110" s="1" t="n">
        <f aca="false">ACOS(-TAN(RADIANS(Dashboard!$B$53))*TAN(I110))</f>
        <v>1.62235192877965</v>
      </c>
      <c r="K110" s="1" t="n">
        <f aca="false">(24*60/PI())*0.082*(1+0.033*COS(2*PI()*H110/365))*(J110*SIN(RADIANS(Dashboard!$B$53))*SIN(I110)+COS(RADIANS(Dashboard!$B$53))*COS(I110)*SIN(J110))</f>
        <v>38.1075995773184</v>
      </c>
      <c r="L110" s="1" t="n">
        <f aca="false">24/PI()*J110</f>
        <v>12.3938557871977</v>
      </c>
    </row>
    <row r="111" customFormat="false" ht="15" hidden="false" customHeight="true" outlineLevel="0" collapsed="false">
      <c r="A111" s="1" t="str">
        <f aca="false">IF(OR(A110="",A110&gt;=Dashboard!$B$55),"",A110+1)</f>
        <v/>
      </c>
      <c r="B111" s="1" t="str">
        <f aca="false">IF(A111="","",A111-DATE(YEAR(A111),1,0))</f>
        <v/>
      </c>
      <c r="C111" s="1" t="str">
        <f aca="false">IF(A111="","",0.409*SIN(2*PI()*B111/365-1.39))</f>
        <v/>
      </c>
      <c r="D111" s="1" t="str">
        <f aca="false">IF(A111="","",ACOS(-TAN(RADIANS(Dashboard!$B$53))*TAN(C111)))</f>
        <v/>
      </c>
      <c r="E111" s="1" t="str">
        <f aca="false">IF(A111="","",(24*60/PI())*0.082*(1+0.033*COS(2*PI()*B111/365))*(D111*SIN(RADIANS(Dashboard!$B$53))*SIN(C111)+COS(RADIANS(Dashboard!$B$53))*COS(C111)*SIN(D111)))</f>
        <v/>
      </c>
      <c r="F111" s="1" t="str">
        <f aca="false">IF(A111="","",24/PI()*D111)</f>
        <v/>
      </c>
      <c r="H111" s="1" t="n">
        <v>107</v>
      </c>
      <c r="I111" s="1" t="n">
        <f aca="false">0.409*SIN(2*PI()*H111/365-1.39)</f>
        <v>0.178607706303475</v>
      </c>
      <c r="J111" s="1" t="n">
        <f aca="false">ACOS(-TAN(RADIANS(Dashboard!$B$53))*TAN(I111))</f>
        <v>1.62429771219121</v>
      </c>
      <c r="K111" s="1" t="n">
        <f aca="false">(24*60/PI())*0.082*(1+0.033*COS(2*PI()*H111/365))*(J111*SIN(RADIANS(Dashboard!$B$53))*SIN(I111)+COS(RADIANS(Dashboard!$B$53))*COS(I111)*SIN(J111))</f>
        <v>38.1544858087326</v>
      </c>
      <c r="L111" s="1" t="n">
        <f aca="false">24/PI()*J111</f>
        <v>12.4087204775082</v>
      </c>
    </row>
    <row r="112" customFormat="false" ht="15" hidden="false" customHeight="true" outlineLevel="0" collapsed="false">
      <c r="A112" s="1" t="str">
        <f aca="false">IF(OR(A111="",A111&gt;=Dashboard!$B$55),"",A111+1)</f>
        <v/>
      </c>
      <c r="B112" s="1" t="str">
        <f aca="false">IF(A112="","",A112-DATE(YEAR(A112),1,0))</f>
        <v/>
      </c>
      <c r="C112" s="1" t="str">
        <f aca="false">IF(A112="","",0.409*SIN(2*PI()*B112/365-1.39))</f>
        <v/>
      </c>
      <c r="D112" s="1" t="str">
        <f aca="false">IF(A112="","",ACOS(-TAN(RADIANS(Dashboard!$B$53))*TAN(C112)))</f>
        <v/>
      </c>
      <c r="E112" s="1" t="str">
        <f aca="false">IF(A112="","",(24*60/PI())*0.082*(1+0.033*COS(2*PI()*B112/365))*(D112*SIN(RADIANS(Dashboard!$B$53))*SIN(C112)+COS(RADIANS(Dashboard!$B$53))*COS(C112)*SIN(D112)))</f>
        <v/>
      </c>
      <c r="F112" s="1" t="str">
        <f aca="false">IF(A112="","",24/PI()*D112)</f>
        <v/>
      </c>
      <c r="H112" s="1" t="n">
        <v>108</v>
      </c>
      <c r="I112" s="1" t="n">
        <f aca="false">0.409*SIN(2*PI()*H112/365-1.39)</f>
        <v>0.184914736286048</v>
      </c>
      <c r="J112" s="1" t="n">
        <f aca="false">ACOS(-TAN(RADIANS(Dashboard!$B$53))*TAN(I112))</f>
        <v>1.62623192162535</v>
      </c>
      <c r="K112" s="1" t="n">
        <f aca="false">(24*60/PI())*0.082*(1+0.033*COS(2*PI()*H112/365))*(J112*SIN(RADIANS(Dashboard!$B$53))*SIN(I112)+COS(RADIANS(Dashboard!$B$53))*COS(I112)*SIN(J112))</f>
        <v>38.1994407405501</v>
      </c>
      <c r="L112" s="1" t="n">
        <f aca="false">24/PI()*J112</f>
        <v>12.4234967491443</v>
      </c>
    </row>
    <row r="113" customFormat="false" ht="15" hidden="false" customHeight="true" outlineLevel="0" collapsed="false">
      <c r="A113" s="1" t="str">
        <f aca="false">IF(OR(A112="",A112&gt;=Dashboard!$B$55),"",A112+1)</f>
        <v/>
      </c>
      <c r="B113" s="1" t="str">
        <f aca="false">IF(A113="","",A113-DATE(YEAR(A113),1,0))</f>
        <v/>
      </c>
      <c r="C113" s="1" t="str">
        <f aca="false">IF(A113="","",0.409*SIN(2*PI()*B113/365-1.39))</f>
        <v/>
      </c>
      <c r="D113" s="1" t="str">
        <f aca="false">IF(A113="","",ACOS(-TAN(RADIANS(Dashboard!$B$53))*TAN(C113)))</f>
        <v/>
      </c>
      <c r="E113" s="1" t="str">
        <f aca="false">IF(A113="","",(24*60/PI())*0.082*(1+0.033*COS(2*PI()*B113/365))*(D113*SIN(RADIANS(Dashboard!$B$53))*SIN(C113)+COS(RADIANS(Dashboard!$B$53))*COS(C113)*SIN(D113)))</f>
        <v/>
      </c>
      <c r="F113" s="1" t="str">
        <f aca="false">IF(A113="","",24/PI()*D113)</f>
        <v/>
      </c>
      <c r="H113" s="1" t="n">
        <v>109</v>
      </c>
      <c r="I113" s="1" t="n">
        <f aca="false">0.409*SIN(2*PI()*H113/365-1.39)</f>
        <v>0.191166972041472</v>
      </c>
      <c r="J113" s="1" t="n">
        <f aca="false">ACOS(-TAN(RADIANS(Dashboard!$B$53))*TAN(I113))</f>
        <v>1.62815404198942</v>
      </c>
      <c r="K113" s="1" t="n">
        <f aca="false">(24*60/PI())*0.082*(1+0.033*COS(2*PI()*H113/365))*(J113*SIN(RADIANS(Dashboard!$B$53))*SIN(I113)+COS(RADIANS(Dashboard!$B$53))*COS(I113)*SIN(J113))</f>
        <v>38.2424882011594</v>
      </c>
      <c r="L113" s="1" t="n">
        <f aca="false">24/PI()*J113</f>
        <v>12.438180667088</v>
      </c>
    </row>
    <row r="114" customFormat="false" ht="15" hidden="false" customHeight="true" outlineLevel="0" collapsed="false">
      <c r="A114" s="1" t="str">
        <f aca="false">IF(OR(A113="",A113&gt;=Dashboard!$B$55),"",A113+1)</f>
        <v/>
      </c>
      <c r="B114" s="1" t="str">
        <f aca="false">IF(A114="","",A114-DATE(YEAR(A114),1,0))</f>
        <v/>
      </c>
      <c r="C114" s="1" t="str">
        <f aca="false">IF(A114="","",0.409*SIN(2*PI()*B114/365-1.39))</f>
        <v/>
      </c>
      <c r="D114" s="1" t="str">
        <f aca="false">IF(A114="","",ACOS(-TAN(RADIANS(Dashboard!$B$53))*TAN(C114)))</f>
        <v/>
      </c>
      <c r="E114" s="1" t="str">
        <f aca="false">IF(A114="","",(24*60/PI())*0.082*(1+0.033*COS(2*PI()*B114/365))*(D114*SIN(RADIANS(Dashboard!$B$53))*SIN(C114)+COS(RADIANS(Dashboard!$B$53))*COS(C114)*SIN(D114)))</f>
        <v/>
      </c>
      <c r="F114" s="1" t="str">
        <f aca="false">IF(A114="","",24/PI()*D114)</f>
        <v/>
      </c>
      <c r="H114" s="1" t="n">
        <v>110</v>
      </c>
      <c r="I114" s="1" t="n">
        <f aca="false">0.409*SIN(2*PI()*H114/365-1.39)</f>
        <v>0.19736256089736</v>
      </c>
      <c r="J114" s="1" t="n">
        <f aca="false">ACOS(-TAN(RADIANS(Dashboard!$B$53))*TAN(I114))</f>
        <v>1.63006355108355</v>
      </c>
      <c r="K114" s="1" t="n">
        <f aca="false">(24*60/PI())*0.082*(1+0.033*COS(2*PI()*H114/365))*(J114*SIN(RADIANS(Dashboard!$B$53))*SIN(I114)+COS(RADIANS(Dashboard!$B$53))*COS(I114)*SIN(J114))</f>
        <v>38.2836536311157</v>
      </c>
      <c r="L114" s="1" t="n">
        <f aca="false">24/PI()*J114</f>
        <v>12.452768242026</v>
      </c>
    </row>
    <row r="115" customFormat="false" ht="15" hidden="false" customHeight="true" outlineLevel="0" collapsed="false">
      <c r="A115" s="1" t="str">
        <f aca="false">IF(OR(A114="",A114&gt;=Dashboard!$B$55),"",A114+1)</f>
        <v/>
      </c>
      <c r="B115" s="1" t="str">
        <f aca="false">IF(A115="","",A115-DATE(YEAR(A115),1,0))</f>
        <v/>
      </c>
      <c r="C115" s="1" t="str">
        <f aca="false">IF(A115="","",0.409*SIN(2*PI()*B115/365-1.39))</f>
        <v/>
      </c>
      <c r="D115" s="1" t="str">
        <f aca="false">IF(A115="","",ACOS(-TAN(RADIANS(Dashboard!$B$53))*TAN(C115)))</f>
        <v/>
      </c>
      <c r="E115" s="1" t="str">
        <f aca="false">IF(A115="","",(24*60/PI())*0.082*(1+0.033*COS(2*PI()*B115/365))*(D115*SIN(RADIANS(Dashboard!$B$53))*SIN(C115)+COS(RADIANS(Dashboard!$B$53))*COS(C115)*SIN(D115)))</f>
        <v/>
      </c>
      <c r="F115" s="1" t="str">
        <f aca="false">IF(A115="","",24/PI()*D115)</f>
        <v/>
      </c>
      <c r="H115" s="1" t="n">
        <v>111</v>
      </c>
      <c r="I115" s="1" t="n">
        <f aca="false">0.409*SIN(2*PI()*H115/365-1.39)</f>
        <v>0.20349966696702</v>
      </c>
      <c r="J115" s="1" t="n">
        <f aca="false">ACOS(-TAN(RADIANS(Dashboard!$B$53))*TAN(I115))</f>
        <v>1.63195991956629</v>
      </c>
      <c r="K115" s="1" t="n">
        <f aca="false">(24*60/PI())*0.082*(1+0.033*COS(2*PI()*H115/365))*(J115*SIN(RADIANS(Dashboard!$B$53))*SIN(I115)+COS(RADIANS(Dashboard!$B$53))*COS(I115)*SIN(J115))</f>
        <v>38.3229640229449</v>
      </c>
      <c r="L115" s="1" t="n">
        <f aca="false">24/PI()*J115</f>
        <v>12.4672554300877</v>
      </c>
    </row>
    <row r="116" customFormat="false" ht="15" hidden="false" customHeight="true" outlineLevel="0" collapsed="false">
      <c r="A116" s="1" t="str">
        <f aca="false">IF(OR(A115="",A115&gt;=Dashboard!$B$55),"",A115+1)</f>
        <v/>
      </c>
      <c r="B116" s="1" t="str">
        <f aca="false">IF(A116="","",A116-DATE(YEAR(A116),1,0))</f>
        <v/>
      </c>
      <c r="C116" s="1" t="str">
        <f aca="false">IF(A116="","",0.409*SIN(2*PI()*B116/365-1.39))</f>
        <v/>
      </c>
      <c r="D116" s="1" t="str">
        <f aca="false">IF(A116="","",ACOS(-TAN(RADIANS(Dashboard!$B$53))*TAN(C116)))</f>
        <v/>
      </c>
      <c r="E116" s="1" t="str">
        <f aca="false">IF(A116="","",(24*60/PI())*0.082*(1+0.033*COS(2*PI()*B116/365))*(D116*SIN(RADIANS(Dashboard!$B$53))*SIN(C116)+COS(RADIANS(Dashboard!$B$53))*COS(C116)*SIN(D116)))</f>
        <v/>
      </c>
      <c r="F116" s="1" t="str">
        <f aca="false">IF(A116="","",24/PI()*D116)</f>
        <v/>
      </c>
      <c r="H116" s="1" t="n">
        <v>112</v>
      </c>
      <c r="I116" s="1" t="n">
        <f aca="false">0.409*SIN(2*PI()*H116/365-1.39)</f>
        <v>0.209576471693476</v>
      </c>
      <c r="J116" s="1" t="n">
        <f aca="false">ACOS(-TAN(RADIANS(Dashboard!$B$53))*TAN(I116))</f>
        <v>1.6338426109453</v>
      </c>
      <c r="K116" s="1" t="n">
        <f aca="false">(24*60/PI())*0.082*(1+0.033*COS(2*PI()*H116/365))*(J116*SIN(RADIANS(Dashboard!$B$53))*SIN(I116)+COS(RADIANS(Dashboard!$B$53))*COS(I116)*SIN(J116))</f>
        <v>38.3604478592436</v>
      </c>
      <c r="L116" s="1" t="n">
        <f aca="false">24/PI()*J116</f>
        <v>12.4816381327734</v>
      </c>
    </row>
    <row r="117" customFormat="false" ht="15" hidden="false" customHeight="true" outlineLevel="0" collapsed="false">
      <c r="A117" s="1" t="str">
        <f aca="false">IF(OR(A116="",A116&gt;=Dashboard!$B$55),"",A116+1)</f>
        <v/>
      </c>
      <c r="B117" s="1" t="str">
        <f aca="false">IF(A117="","",A117-DATE(YEAR(A117),1,0))</f>
        <v/>
      </c>
      <c r="C117" s="1" t="str">
        <f aca="false">IF(A117="","",0.409*SIN(2*PI()*B117/365-1.39))</f>
        <v/>
      </c>
      <c r="D117" s="1" t="str">
        <f aca="false">IF(A117="","",ACOS(-TAN(RADIANS(Dashboard!$B$53))*TAN(C117)))</f>
        <v/>
      </c>
      <c r="E117" s="1" t="str">
        <f aca="false">IF(A117="","",(24*60/PI())*0.082*(1+0.033*COS(2*PI()*B117/365))*(D117*SIN(RADIANS(Dashboard!$B$53))*SIN(C117)+COS(RADIANS(Dashboard!$B$53))*COS(C117)*SIN(D117)))</f>
        <v/>
      </c>
      <c r="F117" s="1" t="str">
        <f aca="false">IF(A117="","",24/PI()*D117)</f>
        <v/>
      </c>
      <c r="H117" s="1" t="n">
        <v>113</v>
      </c>
      <c r="I117" s="1" t="n">
        <f aca="false">0.409*SIN(2*PI()*H117/365-1.39)</f>
        <v>0.215591174388338</v>
      </c>
      <c r="J117" s="1" t="n">
        <f aca="false">ACOS(-TAN(RADIANS(Dashboard!$B$53))*TAN(I117))</f>
        <v>1.63571108159389</v>
      </c>
      <c r="K117" s="1" t="n">
        <f aca="false">(24*60/PI())*0.082*(1+0.033*COS(2*PI()*H117/365))*(J117*SIN(RADIANS(Dashboard!$B$53))*SIN(I117)+COS(RADIANS(Dashboard!$B$53))*COS(I117)*SIN(J117))</f>
        <v>38.3961350491915</v>
      </c>
      <c r="L117" s="1" t="n">
        <f aca="false">24/PI()*J117</f>
        <v>12.4959121970812</v>
      </c>
    </row>
    <row r="118" customFormat="false" ht="15" hidden="false" customHeight="true" outlineLevel="0" collapsed="false">
      <c r="A118" s="1" t="str">
        <f aca="false">IF(OR(A117="",A117&gt;=Dashboard!$B$55),"",A117+1)</f>
        <v/>
      </c>
      <c r="B118" s="1" t="str">
        <f aca="false">IF(A118="","",A118-DATE(YEAR(A118),1,0))</f>
        <v/>
      </c>
      <c r="C118" s="1" t="str">
        <f aca="false">IF(A118="","",0.409*SIN(2*PI()*B118/365-1.39))</f>
        <v/>
      </c>
      <c r="D118" s="1" t="str">
        <f aca="false">IF(A118="","",ACOS(-TAN(RADIANS(Dashboard!$B$53))*TAN(C118)))</f>
        <v/>
      </c>
      <c r="E118" s="1" t="str">
        <f aca="false">IF(A118="","",(24*60/PI())*0.082*(1+0.033*COS(2*PI()*B118/365))*(D118*SIN(RADIANS(Dashboard!$B$53))*SIN(C118)+COS(RADIANS(Dashboard!$B$53))*COS(C118)*SIN(D118)))</f>
        <v/>
      </c>
      <c r="F118" s="1" t="str">
        <f aca="false">IF(A118="","",24/PI()*D118)</f>
        <v/>
      </c>
      <c r="H118" s="1" t="n">
        <v>114</v>
      </c>
      <c r="I118" s="1" t="n">
        <f aca="false">0.409*SIN(2*PI()*H118/365-1.39)</f>
        <v>0.221541992765391</v>
      </c>
      <c r="J118" s="1" t="n">
        <f aca="false">ACOS(-TAN(RADIANS(Dashboard!$B$53))*TAN(I118))</f>
        <v>1.63756478079421</v>
      </c>
      <c r="K118" s="1" t="n">
        <f aca="false">(24*60/PI())*0.082*(1+0.033*COS(2*PI()*H118/365))*(J118*SIN(RADIANS(Dashboard!$B$53))*SIN(I118)+COS(RADIANS(Dashboard!$B$53))*COS(I118)*SIN(J118))</f>
        <v>38.4300568635939</v>
      </c>
      <c r="L118" s="1" t="n">
        <f aca="false">24/PI()*J118</f>
        <v>12.5100734158365</v>
      </c>
    </row>
    <row r="119" customFormat="false" ht="15" hidden="false" customHeight="true" outlineLevel="0" collapsed="false">
      <c r="A119" s="1" t="str">
        <f aca="false">IF(OR(A118="",A118&gt;=Dashboard!$B$55),"",A118+1)</f>
        <v/>
      </c>
      <c r="B119" s="1" t="str">
        <f aca="false">IF(A119="","",A119-DATE(YEAR(A119),1,0))</f>
        <v/>
      </c>
      <c r="C119" s="1" t="str">
        <f aca="false">IF(A119="","",0.409*SIN(2*PI()*B119/365-1.39))</f>
        <v/>
      </c>
      <c r="D119" s="1" t="str">
        <f aca="false">IF(A119="","",ACOS(-TAN(RADIANS(Dashboard!$B$53))*TAN(C119)))</f>
        <v/>
      </c>
      <c r="E119" s="1" t="str">
        <f aca="false">IF(A119="","",(24*60/PI())*0.082*(1+0.033*COS(2*PI()*B119/365))*(D119*SIN(RADIANS(Dashboard!$B$53))*SIN(C119)+COS(RADIANS(Dashboard!$B$53))*COS(C119)*SIN(D119)))</f>
        <v/>
      </c>
      <c r="F119" s="1" t="str">
        <f aca="false">IF(A119="","",24/PI()*D119)</f>
        <v/>
      </c>
      <c r="H119" s="1" t="n">
        <v>115</v>
      </c>
      <c r="I119" s="1" t="n">
        <f aca="false">0.409*SIN(2*PI()*H119/365-1.39)</f>
        <v>0.227427163468719</v>
      </c>
      <c r="J119" s="1" t="n">
        <f aca="false">ACOS(-TAN(RADIANS(Dashboard!$B$53))*TAN(I119))</f>
        <v>1.639403150808</v>
      </c>
      <c r="K119" s="1" t="n">
        <f aca="false">(24*60/PI())*0.082*(1+0.033*COS(2*PI()*H119/365))*(J119*SIN(RADIANS(Dashboard!$B$53))*SIN(I119)+COS(RADIANS(Dashboard!$B$53))*COS(I119)*SIN(J119))</f>
        <v>38.462245868575</v>
      </c>
      <c r="L119" s="1" t="n">
        <f aca="false">24/PI()*J119</f>
        <v>12.5241175282331</v>
      </c>
    </row>
    <row r="120" customFormat="false" ht="15" hidden="false" customHeight="true" outlineLevel="0" collapsed="false">
      <c r="A120" s="1" t="str">
        <f aca="false">IF(OR(A119="",A119&gt;=Dashboard!$B$55),"",A119+1)</f>
        <v/>
      </c>
      <c r="B120" s="1" t="str">
        <f aca="false">IF(A120="","",A120-DATE(YEAR(A120),1,0))</f>
        <v/>
      </c>
      <c r="C120" s="1" t="str">
        <f aca="false">IF(A120="","",0.409*SIN(2*PI()*B120/365-1.39))</f>
        <v/>
      </c>
      <c r="D120" s="1" t="str">
        <f aca="false">IF(A120="","",ACOS(-TAN(RADIANS(Dashboard!$B$53))*TAN(C120)))</f>
        <v/>
      </c>
      <c r="E120" s="1" t="str">
        <f aca="false">IF(A120="","",(24*60/PI())*0.082*(1+0.033*COS(2*PI()*B120/365))*(D120*SIN(RADIANS(Dashboard!$B$53))*SIN(C120)+COS(RADIANS(Dashboard!$B$53))*COS(C120)*SIN(D120)))</f>
        <v/>
      </c>
      <c r="F120" s="1" t="str">
        <f aca="false">IF(A120="","",24/PI()*D120)</f>
        <v/>
      </c>
      <c r="H120" s="1" t="n">
        <v>116</v>
      </c>
      <c r="I120" s="1" t="n">
        <f aca="false">0.409*SIN(2*PI()*H120/365-1.39)</f>
        <v>0.233244942595231</v>
      </c>
      <c r="J120" s="1" t="n">
        <f aca="false">ACOS(-TAN(RADIANS(Dashboard!$B$53))*TAN(I120))</f>
        <v>1.64122562697557</v>
      </c>
      <c r="K120" s="1" t="n">
        <f aca="false">(24*60/PI())*0.082*(1+0.033*COS(2*PI()*H120/365))*(J120*SIN(RADIANS(Dashboard!$B$53))*SIN(I120)+COS(RADIANS(Dashboard!$B$53))*COS(I120)*SIN(J120))</f>
        <v>38.4927358580408</v>
      </c>
      <c r="L120" s="1" t="n">
        <f aca="false">24/PI()*J120</f>
        <v>12.5380402205883</v>
      </c>
    </row>
    <row r="121" customFormat="false" ht="15" hidden="false" customHeight="true" outlineLevel="0" collapsed="false">
      <c r="A121" s="1" t="str">
        <f aca="false">IF(OR(A120="",A120&gt;=Dashboard!$B$55),"",A120+1)</f>
        <v/>
      </c>
      <c r="B121" s="1" t="str">
        <f aca="false">IF(A121="","",A121-DATE(YEAR(A121),1,0))</f>
        <v/>
      </c>
      <c r="C121" s="1" t="str">
        <f aca="false">IF(A121="","",0.409*SIN(2*PI()*B121/365-1.39))</f>
        <v/>
      </c>
      <c r="D121" s="1" t="str">
        <f aca="false">IF(A121="","",ACOS(-TAN(RADIANS(Dashboard!$B$53))*TAN(C121)))</f>
        <v/>
      </c>
      <c r="E121" s="1" t="str">
        <f aca="false">IF(A121="","",(24*60/PI())*0.082*(1+0.033*COS(2*PI()*B121/365))*(D121*SIN(RADIANS(Dashboard!$B$53))*SIN(C121)+COS(RADIANS(Dashboard!$B$53))*COS(C121)*SIN(D121)))</f>
        <v/>
      </c>
      <c r="F121" s="1" t="str">
        <f aca="false">IF(A121="","",24/PI()*D121)</f>
        <v/>
      </c>
      <c r="H121" s="1" t="n">
        <v>117</v>
      </c>
      <c r="I121" s="1" t="n">
        <f aca="false">0.409*SIN(2*PI()*H121/365-1.39)</f>
        <v>0.238993606211414</v>
      </c>
      <c r="J121" s="1" t="n">
        <f aca="false">ACOS(-TAN(RADIANS(Dashboard!$B$53))*TAN(I121))</f>
        <v>1.64303163784376</v>
      </c>
      <c r="K121" s="1" t="n">
        <f aca="false">(24*60/PI())*0.082*(1+0.033*COS(2*PI()*H121/365))*(J121*SIN(RADIANS(Dashboard!$B$53))*SIN(I121)+COS(RADIANS(Dashboard!$B$53))*COS(I121)*SIN(J121))</f>
        <v>38.5215617850343</v>
      </c>
      <c r="L121" s="1" t="n">
        <f aca="false">24/PI()*J121</f>
        <v>12.551837127322</v>
      </c>
    </row>
    <row r="122" customFormat="false" ht="15" hidden="false" customHeight="true" outlineLevel="0" collapsed="false">
      <c r="A122" s="1" t="str">
        <f aca="false">IF(OR(A121="",A121&gt;=Dashboard!$B$55),"",A121+1)</f>
        <v/>
      </c>
      <c r="B122" s="1" t="str">
        <f aca="false">IF(A122="","",A122-DATE(YEAR(A122),1,0))</f>
        <v/>
      </c>
      <c r="C122" s="1" t="str">
        <f aca="false">IF(A122="","",0.409*SIN(2*PI()*B122/365-1.39))</f>
        <v/>
      </c>
      <c r="D122" s="1" t="str">
        <f aca="false">IF(A122="","",ACOS(-TAN(RADIANS(Dashboard!$B$53))*TAN(C122)))</f>
        <v/>
      </c>
      <c r="E122" s="1" t="str">
        <f aca="false">IF(A122="","",(24*60/PI())*0.082*(1+0.033*COS(2*PI()*B122/365))*(D122*SIN(RADIANS(Dashboard!$B$53))*SIN(C122)+COS(RADIANS(Dashboard!$B$53))*COS(C122)*SIN(D122)))</f>
        <v/>
      </c>
      <c r="F122" s="1" t="str">
        <f aca="false">IF(A122="","",24/PI()*D122)</f>
        <v/>
      </c>
      <c r="H122" s="1" t="n">
        <v>118</v>
      </c>
      <c r="I122" s="1" t="n">
        <f aca="false">0.409*SIN(2*PI()*H122/365-1.39)</f>
        <v>0.244671450864173</v>
      </c>
      <c r="J122" s="1" t="n">
        <f aca="false">ACOS(-TAN(RADIANS(Dashboard!$B$53))*TAN(I122))</f>
        <v>1.64482060532368</v>
      </c>
      <c r="K122" s="1" t="n">
        <f aca="false">(24*60/PI())*0.082*(1+0.033*COS(2*PI()*H122/365))*(J122*SIN(RADIANS(Dashboard!$B$53))*SIN(I122)+COS(RADIANS(Dashboard!$B$53))*COS(I122)*SIN(J122))</f>
        <v>38.5487596921026</v>
      </c>
      <c r="L122" s="1" t="n">
        <f aca="false">24/PI()*J122</f>
        <v>12.56550383216</v>
      </c>
    </row>
    <row r="123" customFormat="false" ht="15" hidden="false" customHeight="true" outlineLevel="0" collapsed="false">
      <c r="A123" s="1" t="str">
        <f aca="false">IF(OR(A122="",A122&gt;=Dashboard!$B$55),"",A122+1)</f>
        <v/>
      </c>
      <c r="B123" s="1" t="str">
        <f aca="false">IF(A123="","",A123-DATE(YEAR(A123),1,0))</f>
        <v/>
      </c>
      <c r="C123" s="1" t="str">
        <f aca="false">IF(A123="","",0.409*SIN(2*PI()*B123/365-1.39))</f>
        <v/>
      </c>
      <c r="D123" s="1" t="str">
        <f aca="false">IF(A123="","",ACOS(-TAN(RADIANS(Dashboard!$B$53))*TAN(C123)))</f>
        <v/>
      </c>
      <c r="E123" s="1" t="str">
        <f aca="false">IF(A123="","",(24*60/PI())*0.082*(1+0.033*COS(2*PI()*B123/365))*(D123*SIN(RADIANS(Dashboard!$B$53))*SIN(C123)+COS(RADIANS(Dashboard!$B$53))*COS(C123)*SIN(D123)))</f>
        <v/>
      </c>
      <c r="F123" s="1" t="str">
        <f aca="false">IF(A123="","",24/PI()*D123)</f>
        <v/>
      </c>
      <c r="H123" s="1" t="n">
        <v>119</v>
      </c>
      <c r="I123" s="1" t="n">
        <f aca="false">0.409*SIN(2*PI()*H123/365-1.39)</f>
        <v>0.250276794085597</v>
      </c>
      <c r="J123" s="1" t="n">
        <f aca="false">ACOS(-TAN(RADIANS(Dashboard!$B$53))*TAN(I123))</f>
        <v>1.64659194487866</v>
      </c>
      <c r="K123" s="1" t="n">
        <f aca="false">(24*60/PI())*0.082*(1+0.033*COS(2*PI()*H123/365))*(J123*SIN(RADIANS(Dashboard!$B$53))*SIN(I123)+COS(RADIANS(Dashboard!$B$53))*COS(I123)*SIN(J123))</f>
        <v>38.5743666407987</v>
      </c>
      <c r="L123" s="1" t="n">
        <f aca="false">24/PI()*J123</f>
        <v>12.5790358695714</v>
      </c>
    </row>
    <row r="124" customFormat="false" ht="15" hidden="false" customHeight="true" outlineLevel="0" collapsed="false">
      <c r="A124" s="1" t="str">
        <f aca="false">IF(OR(A123="",A123&gt;=Dashboard!$B$55),"",A123+1)</f>
        <v/>
      </c>
      <c r="B124" s="1" t="str">
        <f aca="false">IF(A124="","",A124-DATE(YEAR(A124),1,0))</f>
        <v/>
      </c>
      <c r="C124" s="1" t="str">
        <f aca="false">IF(A124="","",0.409*SIN(2*PI()*B124/365-1.39))</f>
        <v/>
      </c>
      <c r="D124" s="1" t="str">
        <f aca="false">IF(A124="","",ACOS(-TAN(RADIANS(Dashboard!$B$53))*TAN(C124)))</f>
        <v/>
      </c>
      <c r="E124" s="1" t="str">
        <f aca="false">IF(A124="","",(24*60/PI())*0.082*(1+0.033*COS(2*PI()*B124/365))*(D124*SIN(RADIANS(Dashboard!$B$53))*SIN(C124)+COS(RADIANS(Dashboard!$B$53))*COS(C124)*SIN(D124)))</f>
        <v/>
      </c>
      <c r="F124" s="1" t="str">
        <f aca="false">IF(A124="","",24/PI()*D124)</f>
        <v/>
      </c>
      <c r="H124" s="1" t="n">
        <v>120</v>
      </c>
      <c r="I124" s="1" t="n">
        <f aca="false">0.409*SIN(2*PI()*H124/365-1.39)</f>
        <v>0.255807974891519</v>
      </c>
      <c r="J124" s="1" t="n">
        <f aca="false">ACOS(-TAN(RADIANS(Dashboard!$B$53))*TAN(I124))</f>
        <v>1.64834506574319</v>
      </c>
      <c r="K124" s="1" t="n">
        <f aca="false">(24*60/PI())*0.082*(1+0.033*COS(2*PI()*H124/365))*(J124*SIN(RADIANS(Dashboard!$B$53))*SIN(I124)+COS(RADIANS(Dashboard!$B$53))*COS(I124)*SIN(J124))</f>
        <v>38.5984206404383</v>
      </c>
      <c r="L124" s="1" t="n">
        <f aca="false">24/PI()*J124</f>
        <v>12.5924287264398</v>
      </c>
    </row>
    <row r="125" customFormat="false" ht="15" hidden="false" customHeight="true" outlineLevel="0" collapsed="false">
      <c r="A125" s="1" t="str">
        <f aca="false">IF(OR(A124="",A124&gt;=Dashboard!$B$55),"",A124+1)</f>
        <v/>
      </c>
      <c r="B125" s="1" t="str">
        <f aca="false">IF(A125="","",A125-DATE(YEAR(A125),1,0))</f>
        <v/>
      </c>
      <c r="C125" s="1" t="str">
        <f aca="false">IF(A125="","",0.409*SIN(2*PI()*B125/365-1.39))</f>
        <v/>
      </c>
      <c r="D125" s="1" t="str">
        <f aca="false">IF(A125="","",ACOS(-TAN(RADIANS(Dashboard!$B$53))*TAN(C125)))</f>
        <v/>
      </c>
      <c r="E125" s="1" t="str">
        <f aca="false">IF(A125="","",(24*60/PI())*0.082*(1+0.033*COS(2*PI()*B125/365))*(D125*SIN(RADIANS(Dashboard!$B$53))*SIN(C125)+COS(RADIANS(Dashboard!$B$53))*COS(C125)*SIN(D125)))</f>
        <v/>
      </c>
      <c r="F125" s="1" t="str">
        <f aca="false">IF(A125="","",24/PI()*D125)</f>
        <v/>
      </c>
      <c r="H125" s="1" t="n">
        <v>121</v>
      </c>
      <c r="I125" s="1" t="n">
        <f aca="false">0.409*SIN(2*PI()*H125/365-1.39)</f>
        <v>0.261263354273692</v>
      </c>
      <c r="J125" s="1" t="n">
        <f aca="false">ACOS(-TAN(RADIANS(Dashboard!$B$53))*TAN(I125))</f>
        <v>1.65007937117315</v>
      </c>
      <c r="K125" s="1" t="n">
        <f aca="false">(24*60/PI())*0.082*(1+0.033*COS(2*PI()*H125/365))*(J125*SIN(RADIANS(Dashboard!$B$53))*SIN(I125)+COS(RADIANS(Dashboard!$B$53))*COS(I125)*SIN(J125))</f>
        <v>38.6209605762314</v>
      </c>
      <c r="L125" s="1" t="n">
        <f aca="false">24/PI()*J125</f>
        <v>12.6056778439763</v>
      </c>
    </row>
    <row r="126" customFormat="false" ht="15" hidden="false" customHeight="true" outlineLevel="0" collapsed="false">
      <c r="A126" s="1" t="str">
        <f aca="false">IF(OR(A125="",A125&gt;=Dashboard!$B$55),"",A125+1)</f>
        <v/>
      </c>
      <c r="B126" s="1" t="str">
        <f aca="false">IF(A126="","",A126-DATE(YEAR(A126),1,0))</f>
        <v/>
      </c>
      <c r="C126" s="1" t="str">
        <f aca="false">IF(A126="","",0.409*SIN(2*PI()*B126/365-1.39))</f>
        <v/>
      </c>
      <c r="D126" s="1" t="str">
        <f aca="false">IF(A126="","",ACOS(-TAN(RADIANS(Dashboard!$B$53))*TAN(C126)))</f>
        <v/>
      </c>
      <c r="E126" s="1" t="str">
        <f aca="false">IF(A126="","",(24*60/PI())*0.082*(1+0.033*COS(2*PI()*B126/365))*(D126*SIN(RADIANS(Dashboard!$B$53))*SIN(C126)+COS(RADIANS(Dashboard!$B$53))*COS(C126)*SIN(D126)))</f>
        <v/>
      </c>
      <c r="F126" s="1" t="str">
        <f aca="false">IF(A126="","",24/PI()*D126)</f>
        <v/>
      </c>
      <c r="H126" s="1" t="n">
        <v>122</v>
      </c>
      <c r="I126" s="1" t="n">
        <f aca="false">0.409*SIN(2*PI()*H126/365-1.39)</f>
        <v>0.266641315685469</v>
      </c>
      <c r="J126" s="1" t="n">
        <f aca="false">ACOS(-TAN(RADIANS(Dashboard!$B$53))*TAN(I126))</f>
        <v>1.65179425872803</v>
      </c>
      <c r="K126" s="1" t="n">
        <f aca="false">(24*60/PI())*0.082*(1+0.033*COS(2*PI()*H126/365))*(J126*SIN(RADIANS(Dashboard!$B$53))*SIN(I126)+COS(RADIANS(Dashboard!$B$53))*COS(I126)*SIN(J126))</f>
        <v>38.6420261369106</v>
      </c>
      <c r="L126" s="1" t="n">
        <f aca="false">24/PI()*J126</f>
        <v>12.6187786198742</v>
      </c>
    </row>
    <row r="127" customFormat="false" ht="15" hidden="false" customHeight="true" outlineLevel="0" collapsed="false">
      <c r="A127" s="1" t="str">
        <f aca="false">IF(OR(A126="",A126&gt;=Dashboard!$B$55),"",A126+1)</f>
        <v/>
      </c>
      <c r="B127" s="1" t="str">
        <f aca="false">IF(A127="","",A127-DATE(YEAR(A127),1,0))</f>
        <v/>
      </c>
      <c r="C127" s="1" t="str">
        <f aca="false">IF(A127="","",0.409*SIN(2*PI()*B127/365-1.39))</f>
        <v/>
      </c>
      <c r="D127" s="1" t="str">
        <f aca="false">IF(A127="","",ACOS(-TAN(RADIANS(Dashboard!$B$53))*TAN(C127)))</f>
        <v/>
      </c>
      <c r="E127" s="1" t="str">
        <f aca="false">IF(A127="","",(24*60/PI())*0.082*(1+0.033*COS(2*PI()*B127/365))*(D127*SIN(RADIANS(Dashboard!$B$53))*SIN(C127)+COS(RADIANS(Dashboard!$B$53))*COS(C127)*SIN(D127)))</f>
        <v/>
      </c>
      <c r="F127" s="1" t="str">
        <f aca="false">IF(A127="","",24/PI()*D127)</f>
        <v/>
      </c>
      <c r="H127" s="1" t="n">
        <v>123</v>
      </c>
      <c r="I127" s="1" t="n">
        <f aca="false">0.409*SIN(2*PI()*H127/365-1.39)</f>
        <v>0.271940265520817</v>
      </c>
      <c r="J127" s="1" t="n">
        <f aca="false">ACOS(-TAN(RADIANS(Dashboard!$B$53))*TAN(I127))</f>
        <v>1.65348912058517</v>
      </c>
      <c r="K127" s="1" t="n">
        <f aca="false">(24*60/PI())*0.082*(1+0.033*COS(2*PI()*H127/365))*(J127*SIN(RADIANS(Dashboard!$B$53))*SIN(I127)+COS(RADIANS(Dashboard!$B$53))*COS(I127)*SIN(J127))</f>
        <v>38.6616577419719</v>
      </c>
      <c r="L127" s="1" t="n">
        <f aca="false">24/PI()*J127</f>
        <v>12.6317264107104</v>
      </c>
    </row>
    <row r="128" customFormat="false" ht="15" hidden="false" customHeight="true" outlineLevel="0" collapsed="false">
      <c r="A128" s="1" t="str">
        <f aca="false">IF(OR(A127="",A127&gt;=Dashboard!$B$55),"",A127+1)</f>
        <v/>
      </c>
      <c r="B128" s="1" t="str">
        <f aca="false">IF(A128="","",A128-DATE(YEAR(A128),1,0))</f>
        <v/>
      </c>
      <c r="C128" s="1" t="str">
        <f aca="false">IF(A128="","",0.409*SIN(2*PI()*B128/365-1.39))</f>
        <v/>
      </c>
      <c r="D128" s="1" t="str">
        <f aca="false">IF(A128="","",ACOS(-TAN(RADIANS(Dashboard!$B$53))*TAN(C128)))</f>
        <v/>
      </c>
      <c r="E128" s="1" t="str">
        <f aca="false">IF(A128="","",(24*60/PI())*0.082*(1+0.033*COS(2*PI()*B128/365))*(D128*SIN(RADIANS(Dashboard!$B$53))*SIN(C128)+COS(RADIANS(Dashboard!$B$53))*COS(C128)*SIN(D128)))</f>
        <v/>
      </c>
      <c r="F128" s="1" t="str">
        <f aca="false">IF(A128="","",24/PI()*D128)</f>
        <v/>
      </c>
      <c r="H128" s="1" t="n">
        <v>124</v>
      </c>
      <c r="I128" s="1" t="n">
        <f aca="false">0.409*SIN(2*PI()*H128/365-1.39)</f>
        <v>0.27715863358654</v>
      </c>
      <c r="J128" s="1" t="n">
        <f aca="false">ACOS(-TAN(RADIANS(Dashboard!$B$53))*TAN(I128))</f>
        <v>1.65516334388662</v>
      </c>
      <c r="K128" s="1" t="n">
        <f aca="false">(24*60/PI())*0.082*(1+0.033*COS(2*PI()*H128/365))*(J128*SIN(RADIANS(Dashboard!$B$53))*SIN(I128)+COS(RADIANS(Dashboard!$B$53))*COS(I128)*SIN(J128))</f>
        <v>38.6798964686471</v>
      </c>
      <c r="L128" s="1" t="n">
        <f aca="false">24/PI()*J128</f>
        <v>12.6445165345952</v>
      </c>
    </row>
    <row r="129" customFormat="false" ht="15" hidden="false" customHeight="true" outlineLevel="0" collapsed="false">
      <c r="A129" s="1" t="str">
        <f aca="false">IF(OR(A128="",A128&gt;=Dashboard!$B$55),"",A128+1)</f>
        <v/>
      </c>
      <c r="B129" s="1" t="str">
        <f aca="false">IF(A129="","",A129-DATE(YEAR(A129),1,0))</f>
        <v/>
      </c>
      <c r="C129" s="1" t="str">
        <f aca="false">IF(A129="","",0.409*SIN(2*PI()*B129/365-1.39))</f>
        <v/>
      </c>
      <c r="D129" s="1" t="str">
        <f aca="false">IF(A129="","",ACOS(-TAN(RADIANS(Dashboard!$B$53))*TAN(C129)))</f>
        <v/>
      </c>
      <c r="E129" s="1" t="str">
        <f aca="false">IF(A129="","",(24*60/PI())*0.082*(1+0.033*COS(2*PI()*B129/365))*(D129*SIN(RADIANS(Dashboard!$B$53))*SIN(C129)+COS(RADIANS(Dashboard!$B$53))*COS(C129)*SIN(D129)))</f>
        <v/>
      </c>
      <c r="F129" s="1" t="str">
        <f aca="false">IF(A129="","",24/PI()*D129)</f>
        <v/>
      </c>
      <c r="H129" s="1" t="n">
        <v>125</v>
      </c>
      <c r="I129" s="1" t="n">
        <f aca="false">0.409*SIN(2*PI()*H129/365-1.39)</f>
        <v>0.282294873567558</v>
      </c>
      <c r="J129" s="1" t="n">
        <f aca="false">ACOS(-TAN(RADIANS(Dashboard!$B$53))*TAN(I129))</f>
        <v>1.6568163111186</v>
      </c>
      <c r="K129" s="1" t="n">
        <f aca="false">(24*60/PI())*0.082*(1+0.033*COS(2*PI()*H129/365))*(J129*SIN(RADIANS(Dashboard!$B$53))*SIN(I129)+COS(RADIANS(Dashboard!$B$53))*COS(I129)*SIN(J129))</f>
        <v>38.6967839787226</v>
      </c>
      <c r="L129" s="1" t="n">
        <f aca="false">24/PI()*J129</f>
        <v>12.6571442740706</v>
      </c>
    </row>
    <row r="130" customFormat="false" ht="15" hidden="false" customHeight="true" outlineLevel="0" collapsed="false">
      <c r="A130" s="1" t="str">
        <f aca="false">IF(OR(A129="",A129&gt;=Dashboard!$B$55),"",A129+1)</f>
        <v/>
      </c>
      <c r="B130" s="1" t="str">
        <f aca="false">IF(A130="","",A130-DATE(YEAR(A130),1,0))</f>
        <v/>
      </c>
      <c r="C130" s="1" t="str">
        <f aca="false">IF(A130="","",0.409*SIN(2*PI()*B130/365-1.39))</f>
        <v/>
      </c>
      <c r="D130" s="1" t="str">
        <f aca="false">IF(A130="","",ACOS(-TAN(RADIANS(Dashboard!$B$53))*TAN(C130)))</f>
        <v/>
      </c>
      <c r="E130" s="1" t="str">
        <f aca="false">IF(A130="","",(24*60/PI())*0.082*(1+0.033*COS(2*PI()*B130/365))*(D130*SIN(RADIANS(Dashboard!$B$53))*SIN(C130)+COS(RADIANS(Dashboard!$B$53))*COS(C130)*SIN(D130)))</f>
        <v/>
      </c>
      <c r="F130" s="1" t="str">
        <f aca="false">IF(A130="","",24/PI()*D130)</f>
        <v/>
      </c>
      <c r="H130" s="1" t="n">
        <v>126</v>
      </c>
      <c r="I130" s="1" t="n">
        <f aca="false">0.409*SIN(2*PI()*H130/365-1.39)</f>
        <v>0.287347463485115</v>
      </c>
      <c r="J130" s="1" t="n">
        <f aca="false">ACOS(-TAN(RADIANS(Dashboard!$B$53))*TAN(I130))</f>
        <v>1.65844740052372</v>
      </c>
      <c r="K130" s="1" t="n">
        <f aca="false">(24*60/PI())*0.082*(1+0.033*COS(2*PI()*H130/365))*(J130*SIN(RADIANS(Dashboard!$B$53))*SIN(I130)+COS(RADIANS(Dashboard!$B$53))*COS(I130)*SIN(J130))</f>
        <v>38.7123624453191</v>
      </c>
      <c r="L130" s="1" t="n">
        <f aca="false">24/PI()*J130</f>
        <v>12.6696048792602</v>
      </c>
    </row>
    <row r="131" customFormat="false" ht="15" hidden="false" customHeight="true" outlineLevel="0" collapsed="false">
      <c r="A131" s="1" t="str">
        <f aca="false">IF(OR(A130="",A130&gt;=Dashboard!$B$55),"",A130+1)</f>
        <v/>
      </c>
      <c r="B131" s="1" t="str">
        <f aca="false">IF(A131="","",A131-DATE(YEAR(A131),1,0))</f>
        <v/>
      </c>
      <c r="C131" s="1" t="str">
        <f aca="false">IF(A131="","",0.409*SIN(2*PI()*B131/365-1.39))</f>
        <v/>
      </c>
      <c r="D131" s="1" t="str">
        <f aca="false">IF(A131="","",ACOS(-TAN(RADIANS(Dashboard!$B$53))*TAN(C131)))</f>
        <v/>
      </c>
      <c r="E131" s="1" t="str">
        <f aca="false">IF(A131="","",(24*60/PI())*0.082*(1+0.033*COS(2*PI()*B131/365))*(D131*SIN(RADIANS(Dashboard!$B$53))*SIN(C131)+COS(RADIANS(Dashboard!$B$53))*COS(C131)*SIN(D131)))</f>
        <v/>
      </c>
      <c r="F131" s="1" t="str">
        <f aca="false">IF(A131="","",24/PI()*D131)</f>
        <v/>
      </c>
      <c r="H131" s="1" t="n">
        <v>127</v>
      </c>
      <c r="I131" s="1" t="n">
        <f aca="false">0.409*SIN(2*PI()*H131/365-1.39)</f>
        <v>0.292314906147776</v>
      </c>
      <c r="J131" s="1" t="n">
        <f aca="false">ACOS(-TAN(RADIANS(Dashboard!$B$53))*TAN(I131))</f>
        <v>1.66005598654596</v>
      </c>
      <c r="K131" s="1" t="n">
        <f aca="false">(24*60/PI())*0.082*(1+0.033*COS(2*PI()*H131/365))*(J131*SIN(RADIANS(Dashboard!$B$53))*SIN(I131)+COS(RADIANS(Dashboard!$B$53))*COS(I131)*SIN(J131))</f>
        <v>38.7266744797426</v>
      </c>
      <c r="L131" s="1" t="n">
        <f aca="false">24/PI()*J131</f>
        <v>12.6818935712679</v>
      </c>
    </row>
    <row r="132" customFormat="false" ht="15" hidden="false" customHeight="true" outlineLevel="0" collapsed="false">
      <c r="A132" s="1" t="str">
        <f aca="false">IF(OR(A131="",A131&gt;=Dashboard!$B$55),"",A131+1)</f>
        <v/>
      </c>
      <c r="B132" s="1" t="str">
        <f aca="false">IF(A132="","",A132-DATE(YEAR(A132),1,0))</f>
        <v/>
      </c>
      <c r="C132" s="1" t="str">
        <f aca="false">IF(A132="","",0.409*SIN(2*PI()*B132/365-1.39))</f>
        <v/>
      </c>
      <c r="D132" s="1" t="str">
        <f aca="false">IF(A132="","",ACOS(-TAN(RADIANS(Dashboard!$B$53))*TAN(C132)))</f>
        <v/>
      </c>
      <c r="E132" s="1" t="str">
        <f aca="false">IF(A132="","",(24*60/PI())*0.082*(1+0.033*COS(2*PI()*B132/365))*(D132*SIN(RADIANS(Dashboard!$B$53))*SIN(C132)+COS(RADIANS(Dashboard!$B$53))*COS(C132)*SIN(D132)))</f>
        <v/>
      </c>
      <c r="F132" s="1" t="str">
        <f aca="false">IF(A132="","",24/PI()*D132)</f>
        <v/>
      </c>
      <c r="H132" s="1" t="n">
        <v>128</v>
      </c>
      <c r="I132" s="1" t="n">
        <f aca="false">0.409*SIN(2*PI()*H132/365-1.39)</f>
        <v>0.297195729595073</v>
      </c>
      <c r="J132" s="1" t="n">
        <f aca="false">ACOS(-TAN(RADIANS(Dashboard!$B$53))*TAN(I132))</f>
        <v>1.66164144030828</v>
      </c>
      <c r="K132" s="1" t="n">
        <f aca="false">(24*60/PI())*0.082*(1+0.033*COS(2*PI()*H132/365))*(J132*SIN(RADIANS(Dashboard!$B$53))*SIN(I132)+COS(RADIANS(Dashboard!$B$53))*COS(I132)*SIN(J132))</f>
        <v>38.7397630585172</v>
      </c>
      <c r="L132" s="1" t="n">
        <f aca="false">24/PI()*J132</f>
        <v>12.6940055458272</v>
      </c>
    </row>
    <row r="133" customFormat="false" ht="15" hidden="false" customHeight="true" outlineLevel="0" collapsed="false">
      <c r="A133" s="1" t="str">
        <f aca="false">IF(OR(A132="",A132&gt;=Dashboard!$B$55),"",A132+1)</f>
        <v/>
      </c>
      <c r="B133" s="1" t="str">
        <f aca="false">IF(A133="","",A133-DATE(YEAR(A133),1,0))</f>
        <v/>
      </c>
      <c r="C133" s="1" t="str">
        <f aca="false">IF(A133="","",0.409*SIN(2*PI()*B133/365-1.39))</f>
        <v/>
      </c>
      <c r="D133" s="1" t="str">
        <f aca="false">IF(A133="","",ACOS(-TAN(RADIANS(Dashboard!$B$53))*TAN(C133)))</f>
        <v/>
      </c>
      <c r="E133" s="1" t="str">
        <f aca="false">IF(A133="","",(24*60/PI())*0.082*(1+0.033*COS(2*PI()*B133/365))*(D133*SIN(RADIANS(Dashboard!$B$53))*SIN(C133)+COS(RADIANS(Dashboard!$B$53))*COS(C133)*SIN(D133)))</f>
        <v/>
      </c>
      <c r="F133" s="1" t="str">
        <f aca="false">IF(A133="","",24/PI()*D133)</f>
        <v/>
      </c>
      <c r="H133" s="1" t="n">
        <v>129</v>
      </c>
      <c r="I133" s="1" t="n">
        <f aca="false">0.409*SIN(2*PI()*H133/365-1.39)</f>
        <v>0.301988487533681</v>
      </c>
      <c r="J133" s="1" t="n">
        <f aca="false">ACOS(-TAN(RADIANS(Dashboard!$B$53))*TAN(I133))</f>
        <v>1.66320313012264</v>
      </c>
      <c r="K133" s="1" t="n">
        <f aca="false">(24*60/PI())*0.082*(1+0.033*COS(2*PI()*H133/365))*(J133*SIN(RADIANS(Dashboard!$B$53))*SIN(I133)+COS(RADIANS(Dashboard!$B$53))*COS(I133)*SIN(J133))</f>
        <v>38.7516714507068</v>
      </c>
      <c r="L133" s="1" t="n">
        <f aca="false">24/PI()*J133</f>
        <v>12.7059359771967</v>
      </c>
    </row>
    <row r="134" customFormat="false" ht="15" hidden="false" customHeight="true" outlineLevel="0" collapsed="false">
      <c r="A134" s="1" t="str">
        <f aca="false">IF(OR(A133="",A133&gt;=Dashboard!$B$55),"",A133+1)</f>
        <v/>
      </c>
      <c r="B134" s="1" t="str">
        <f aca="false">IF(A134="","",A134-DATE(YEAR(A134),1,0))</f>
        <v/>
      </c>
      <c r="C134" s="1" t="str">
        <f aca="false">IF(A134="","",0.409*SIN(2*PI()*B134/365-1.39))</f>
        <v/>
      </c>
      <c r="D134" s="1" t="str">
        <f aca="false">IF(A134="","",ACOS(-TAN(RADIANS(Dashboard!$B$53))*TAN(C134)))</f>
        <v/>
      </c>
      <c r="E134" s="1" t="str">
        <f aca="false">IF(A134="","",(24*60/PI())*0.082*(1+0.033*COS(2*PI()*B134/365))*(D134*SIN(RADIANS(Dashboard!$B$53))*SIN(C134)+COS(RADIANS(Dashboard!$B$53))*COS(C134)*SIN(D134)))</f>
        <v/>
      </c>
      <c r="F134" s="1" t="str">
        <f aca="false">IF(A134="","",24/PI()*D134)</f>
        <v/>
      </c>
      <c r="H134" s="1" t="n">
        <v>130</v>
      </c>
      <c r="I134" s="1" t="n">
        <f aca="false">0.409*SIN(2*PI()*H134/365-1.39)</f>
        <v>0.306691759765988</v>
      </c>
      <c r="J134" s="1" t="n">
        <f aca="false">ACOS(-TAN(RADIANS(Dashboard!$B$53))*TAN(I134))</f>
        <v>1.66474042203206</v>
      </c>
      <c r="K134" s="1" t="n">
        <f aca="false">(24*60/PI())*0.082*(1+0.033*COS(2*PI()*H134/365))*(J134*SIN(RADIANS(Dashboard!$B$53))*SIN(I134)+COS(RADIANS(Dashboard!$B$53))*COS(I134)*SIN(J134))</f>
        <v>38.7624431456288</v>
      </c>
      <c r="L134" s="1" t="n">
        <f aca="false">24/PI()*J134</f>
        <v>12.717680022302</v>
      </c>
    </row>
    <row r="135" customFormat="false" ht="15" hidden="false" customHeight="true" outlineLevel="0" collapsed="false">
      <c r="A135" s="1" t="str">
        <f aca="false">IF(OR(A134="",A134&gt;=Dashboard!$B$55),"",A134+1)</f>
        <v/>
      </c>
      <c r="B135" s="1" t="str">
        <f aca="false">IF(A135="","",A135-DATE(YEAR(A135),1,0))</f>
        <v/>
      </c>
      <c r="C135" s="1" t="str">
        <f aca="false">IF(A135="","",0.409*SIN(2*PI()*B135/365-1.39))</f>
        <v/>
      </c>
      <c r="D135" s="1" t="str">
        <f aca="false">IF(A135="","",ACOS(-TAN(RADIANS(Dashboard!$B$53))*TAN(C135)))</f>
        <v/>
      </c>
      <c r="E135" s="1" t="str">
        <f aca="false">IF(A135="","",(24*60/PI())*0.082*(1+0.033*COS(2*PI()*B135/365))*(D135*SIN(RADIANS(Dashboard!$B$53))*SIN(C135)+COS(RADIANS(Dashboard!$B$53))*COS(C135)*SIN(D135)))</f>
        <v/>
      </c>
      <c r="F135" s="1" t="str">
        <f aca="false">IF(A135="","",24/PI()*D135)</f>
        <v/>
      </c>
      <c r="H135" s="1" t="n">
        <v>131</v>
      </c>
      <c r="I135" s="1" t="n">
        <f aca="false">0.409*SIN(2*PI()*H135/365-1.39)</f>
        <v>0.311304152610926</v>
      </c>
      <c r="J135" s="1" t="n">
        <f aca="false">ACOS(-TAN(RADIANS(Dashboard!$B$53))*TAN(I135))</f>
        <v>1.6662526803843</v>
      </c>
      <c r="K135" s="1" t="n">
        <f aca="false">(24*60/PI())*0.082*(1+0.033*COS(2*PI()*H135/365))*(J135*SIN(RADIANS(Dashboard!$B$53))*SIN(I135)+COS(RADIANS(Dashboard!$B$53))*COS(I135)*SIN(J135))</f>
        <v>38.7721217810623</v>
      </c>
      <c r="L135" s="1" t="n">
        <f aca="false">24/PI()*J135</f>
        <v>12.7292328251175</v>
      </c>
    </row>
    <row r="136" customFormat="false" ht="15" hidden="false" customHeight="true" outlineLevel="0" collapsed="false">
      <c r="A136" s="1" t="str">
        <f aca="false">IF(OR(A135="",A135&gt;=Dashboard!$B$55),"",A135+1)</f>
        <v/>
      </c>
      <c r="B136" s="1" t="str">
        <f aca="false">IF(A136="","",A136-DATE(YEAR(A136),1,0))</f>
        <v/>
      </c>
      <c r="C136" s="1" t="str">
        <f aca="false">IF(A136="","",0.409*SIN(2*PI()*B136/365-1.39))</f>
        <v/>
      </c>
      <c r="D136" s="1" t="str">
        <f aca="false">IF(A136="","",ACOS(-TAN(RADIANS(Dashboard!$B$53))*TAN(C136)))</f>
        <v/>
      </c>
      <c r="E136" s="1" t="str">
        <f aca="false">IF(A136="","",(24*60/PI())*0.082*(1+0.033*COS(2*PI()*B136/365))*(D136*SIN(RADIANS(Dashboard!$B$53))*SIN(C136)+COS(RADIANS(Dashboard!$B$53))*COS(C136)*SIN(D136)))</f>
        <v/>
      </c>
      <c r="F136" s="1" t="str">
        <f aca="false">IF(A136="","",24/PI()*D136)</f>
        <v/>
      </c>
      <c r="H136" s="1" t="n">
        <v>132</v>
      </c>
      <c r="I136" s="1" t="n">
        <f aca="false">0.409*SIN(2*PI()*H136/365-1.39)</f>
        <v>0.315824299316952</v>
      </c>
      <c r="J136" s="1" t="n">
        <f aca="false">ACOS(-TAN(RADIANS(Dashboard!$B$53))*TAN(I136))</f>
        <v>1.66773926843645</v>
      </c>
      <c r="K136" s="1" t="n">
        <f aca="false">(24*60/PI())*0.082*(1+0.033*COS(2*PI()*H136/365))*(J136*SIN(RADIANS(Dashboard!$B$53))*SIN(I136)+COS(RADIANS(Dashboard!$B$53))*COS(I136)*SIN(J136))</f>
        <v>38.7807510720494</v>
      </c>
      <c r="L136" s="1" t="n">
        <f aca="false">24/PI()*J136</f>
        <v>12.7405895212859</v>
      </c>
    </row>
    <row r="137" customFormat="false" ht="15" hidden="false" customHeight="true" outlineLevel="0" collapsed="false">
      <c r="A137" s="1" t="str">
        <f aca="false">IF(OR(A136="",A136&gt;=Dashboard!$B$55),"",A136+1)</f>
        <v/>
      </c>
      <c r="B137" s="1" t="str">
        <f aca="false">IF(A137="","",A137-DATE(YEAR(A137),1,0))</f>
        <v/>
      </c>
      <c r="C137" s="1" t="str">
        <f aca="false">IF(A137="","",0.409*SIN(2*PI()*B137/365-1.39))</f>
        <v/>
      </c>
      <c r="D137" s="1" t="str">
        <f aca="false">IF(A137="","",ACOS(-TAN(RADIANS(Dashboard!$B$53))*TAN(C137)))</f>
        <v/>
      </c>
      <c r="E137" s="1" t="str">
        <f aca="false">IF(A137="","",(24*60/PI())*0.082*(1+0.033*COS(2*PI()*B137/365))*(D137*SIN(RADIANS(Dashboard!$B$53))*SIN(C137)+COS(RADIANS(Dashboard!$B$53))*COS(C137)*SIN(D137)))</f>
        <v/>
      </c>
      <c r="F137" s="1" t="str">
        <f aca="false">IF(A137="","",24/PI()*D137)</f>
        <v/>
      </c>
      <c r="H137" s="1" t="n">
        <v>133</v>
      </c>
      <c r="I137" s="1" t="n">
        <f aca="false">0.409*SIN(2*PI()*H137/365-1.39)</f>
        <v>0.320250860467043</v>
      </c>
      <c r="J137" s="1" t="n">
        <f aca="false">ACOS(-TAN(RADIANS(Dashboard!$B$53))*TAN(I137))</f>
        <v>1.66919954898989</v>
      </c>
      <c r="K137" s="1" t="n">
        <f aca="false">(24*60/PI())*0.082*(1+0.033*COS(2*PI()*H137/365))*(J137*SIN(RADIANS(Dashboard!$B$53))*SIN(I137)+COS(RADIANS(Dashboard!$B$53))*COS(I137)*SIN(J137))</f>
        <v>38.7883747403837</v>
      </c>
      <c r="L137" s="1" t="n">
        <f aca="false">24/PI()*J137</f>
        <v>12.7517452429682</v>
      </c>
    </row>
    <row r="138" customFormat="false" ht="15" hidden="false" customHeight="true" outlineLevel="0" collapsed="false">
      <c r="A138" s="1" t="str">
        <f aca="false">IF(OR(A137="",A137&gt;=Dashboard!$B$55),"",A137+1)</f>
        <v/>
      </c>
      <c r="B138" s="1" t="str">
        <f aca="false">IF(A138="","",A138-DATE(YEAR(A138),1,0))</f>
        <v/>
      </c>
      <c r="C138" s="1" t="str">
        <f aca="false">IF(A138="","",0.409*SIN(2*PI()*B138/365-1.39))</f>
        <v/>
      </c>
      <c r="D138" s="1" t="str">
        <f aca="false">IF(A138="","",ACOS(-TAN(RADIANS(Dashboard!$B$53))*TAN(C138)))</f>
        <v/>
      </c>
      <c r="E138" s="1" t="str">
        <f aca="false">IF(A138="","",(24*60/PI())*0.082*(1+0.033*COS(2*PI()*B138/365))*(D138*SIN(RADIANS(Dashboard!$B$53))*SIN(C138)+COS(RADIANS(Dashboard!$B$53))*COS(C138)*SIN(D138)))</f>
        <v/>
      </c>
      <c r="F138" s="1" t="str">
        <f aca="false">IF(A138="","",24/PI()*D138)</f>
        <v/>
      </c>
      <c r="H138" s="1" t="n">
        <v>134</v>
      </c>
      <c r="I138" s="1" t="n">
        <f aca="false">0.409*SIN(2*PI()*H138/365-1.39)</f>
        <v>0.324582524375599</v>
      </c>
      <c r="J138" s="1" t="n">
        <f aca="false">ACOS(-TAN(RADIANS(Dashboard!$B$53))*TAN(I138))</f>
        <v>1.67063288505456</v>
      </c>
      <c r="K138" s="1" t="n">
        <f aca="false">(24*60/PI())*0.082*(1+0.033*COS(2*PI()*H138/365))*(J138*SIN(RADIANS(Dashboard!$B$53))*SIN(I138)+COS(RADIANS(Dashboard!$B$53))*COS(I138)*SIN(J138))</f>
        <v>38.7950364448794</v>
      </c>
      <c r="L138" s="1" t="n">
        <f aca="false">24/PI()*J138</f>
        <v>12.7626951239187</v>
      </c>
    </row>
    <row r="139" customFormat="false" ht="15" hidden="false" customHeight="true" outlineLevel="0" collapsed="false">
      <c r="A139" s="1" t="str">
        <f aca="false">IF(OR(A138="",A138&gt;=Dashboard!$B$55),"",A138+1)</f>
        <v/>
      </c>
      <c r="B139" s="1" t="str">
        <f aca="false">IF(A139="","",A139-DATE(YEAR(A139),1,0))</f>
        <v/>
      </c>
      <c r="C139" s="1" t="str">
        <f aca="false">IF(A139="","",0.409*SIN(2*PI()*B139/365-1.39))</f>
        <v/>
      </c>
      <c r="D139" s="1" t="str">
        <f aca="false">IF(A139="","",ACOS(-TAN(RADIANS(Dashboard!$B$53))*TAN(C139)))</f>
        <v/>
      </c>
      <c r="E139" s="1" t="str">
        <f aca="false">IF(A139="","",(24*60/PI())*0.082*(1+0.033*COS(2*PI()*B139/365))*(D139*SIN(RADIANS(Dashboard!$B$53))*SIN(C139)+COS(RADIANS(Dashboard!$B$53))*COS(C139)*SIN(D139)))</f>
        <v/>
      </c>
      <c r="F139" s="1" t="str">
        <f aca="false">IF(A139="","",24/PI()*D139)</f>
        <v/>
      </c>
      <c r="H139" s="1" t="n">
        <v>135</v>
      </c>
      <c r="I139" s="1" t="n">
        <f aca="false">0.409*SIN(2*PI()*H139/365-1.39)</f>
        <v>0.328818007477117</v>
      </c>
      <c r="J139" s="1" t="n">
        <f aca="false">ACOS(-TAN(RADIANS(Dashboard!$B$53))*TAN(I139))</f>
        <v>1.6720386405416</v>
      </c>
      <c r="K139" s="1" t="n">
        <f aca="false">(24*60/PI())*0.082*(1+0.033*COS(2*PI()*H139/365))*(J139*SIN(RADIANS(Dashboard!$B$53))*SIN(I139)+COS(RADIANS(Dashboard!$B$53))*COS(I139)*SIN(J139))</f>
        <v>38.8007797125094</v>
      </c>
      <c r="L139" s="1" t="n">
        <f aca="false">24/PI()*J139</f>
        <v>12.7734343047767</v>
      </c>
    </row>
    <row r="140" customFormat="false" ht="15" hidden="false" customHeight="true" outlineLevel="0" collapsed="false">
      <c r="A140" s="1" t="str">
        <f aca="false">IF(OR(A139="",A139&gt;=Dashboard!$B$55),"",A139+1)</f>
        <v/>
      </c>
      <c r="B140" s="1" t="str">
        <f aca="false">IF(A140="","",A140-DATE(YEAR(A140),1,0))</f>
        <v/>
      </c>
      <c r="C140" s="1" t="str">
        <f aca="false">IF(A140="","",0.409*SIN(2*PI()*B140/365-1.39))</f>
        <v/>
      </c>
      <c r="D140" s="1" t="str">
        <f aca="false">IF(A140="","",ACOS(-TAN(RADIANS(Dashboard!$B$53))*TAN(C140)))</f>
        <v/>
      </c>
      <c r="E140" s="1" t="str">
        <f aca="false">IF(A140="","",(24*60/PI())*0.082*(1+0.033*COS(2*PI()*B140/365))*(D140*SIN(RADIANS(Dashboard!$B$53))*SIN(C140)+COS(RADIANS(Dashboard!$B$53))*COS(C140)*SIN(D140)))</f>
        <v/>
      </c>
      <c r="F140" s="1" t="str">
        <f aca="false">IF(A140="","",24/PI()*D140)</f>
        <v/>
      </c>
      <c r="H140" s="1" t="n">
        <v>136</v>
      </c>
      <c r="I140" s="1" t="n">
        <f aca="false">0.409*SIN(2*PI()*H140/365-1.39)</f>
        <v>0.332956054706546</v>
      </c>
      <c r="J140" s="1" t="n">
        <f aca="false">ACOS(-TAN(RADIANS(Dashboard!$B$53))*TAN(I140))</f>
        <v>1.67341618098331</v>
      </c>
      <c r="K140" s="1" t="n">
        <f aca="false">(24*60/PI())*0.082*(1+0.033*COS(2*PI()*H140/365))*(J140*SIN(RADIANS(Dashboard!$B$53))*SIN(I140)+COS(RADIANS(Dashboard!$B$53))*COS(I140)*SIN(J140))</f>
        <v>38.8056478704972</v>
      </c>
      <c r="L140" s="1" t="n">
        <f aca="false">24/PI()*J140</f>
        <v>12.7839579385659</v>
      </c>
    </row>
    <row r="141" customFormat="false" ht="15" hidden="false" customHeight="true" outlineLevel="0" collapsed="false">
      <c r="A141" s="1" t="str">
        <f aca="false">IF(OR(A140="",A140&gt;=Dashboard!$B$55),"",A140+1)</f>
        <v/>
      </c>
      <c r="B141" s="1" t="str">
        <f aca="false">IF(A141="","",A141-DATE(YEAR(A141),1,0))</f>
        <v/>
      </c>
      <c r="C141" s="1" t="str">
        <f aca="false">IF(A141="","",0.409*SIN(2*PI()*B141/365-1.39))</f>
        <v/>
      </c>
      <c r="D141" s="1" t="str">
        <f aca="false">IF(A141="","",ACOS(-TAN(RADIANS(Dashboard!$B$53))*TAN(C141)))</f>
        <v/>
      </c>
      <c r="E141" s="1" t="str">
        <f aca="false">IF(A141="","",(24*60/PI())*0.082*(1+0.033*COS(2*PI()*B141/365))*(D141*SIN(RADIANS(Dashboard!$B$53))*SIN(C141)+COS(RADIANS(Dashboard!$B$53))*COS(C141)*SIN(D141)))</f>
        <v/>
      </c>
      <c r="F141" s="1" t="str">
        <f aca="false">IF(A141="","",24/PI()*D141)</f>
        <v/>
      </c>
      <c r="H141" s="1" t="n">
        <v>137</v>
      </c>
      <c r="I141" s="1" t="n">
        <f aca="false">0.409*SIN(2*PI()*H141/365-1.39)</f>
        <v>0.336995439871185</v>
      </c>
      <c r="J141" s="1" t="n">
        <f aca="false">ACOS(-TAN(RADIANS(Dashboard!$B$53))*TAN(I141))</f>
        <v>1.67476487427901</v>
      </c>
      <c r="K141" s="1" t="n">
        <f aca="false">(24*60/PI())*0.082*(1+0.033*COS(2*PI()*H141/365))*(J141*SIN(RADIANS(Dashboard!$B$53))*SIN(I141)+COS(RADIANS(Dashboard!$B$53))*COS(I141)*SIN(J141))</f>
        <v>38.8096839794443</v>
      </c>
      <c r="L141" s="1" t="n">
        <f aca="false">24/PI()*J141</f>
        <v>12.7942611963927</v>
      </c>
    </row>
    <row r="142" customFormat="false" ht="15" hidden="false" customHeight="true" outlineLevel="0" collapsed="false">
      <c r="A142" s="1" t="str">
        <f aca="false">IF(OR(A141="",A141&gt;=Dashboard!$B$55),"",A141+1)</f>
        <v/>
      </c>
      <c r="B142" s="1" t="str">
        <f aca="false">IF(A142="","",A142-DATE(YEAR(A142),1,0))</f>
        <v/>
      </c>
      <c r="C142" s="1" t="str">
        <f aca="false">IF(A142="","",0.409*SIN(2*PI()*B142/365-1.39))</f>
        <v/>
      </c>
      <c r="D142" s="1" t="str">
        <f aca="false">IF(A142="","",ACOS(-TAN(RADIANS(Dashboard!$B$53))*TAN(C142)))</f>
        <v/>
      </c>
      <c r="E142" s="1" t="str">
        <f aca="false">IF(A142="","",(24*60/PI())*0.082*(1+0.033*COS(2*PI()*B142/365))*(D142*SIN(RADIANS(Dashboard!$B$53))*SIN(C142)+COS(RADIANS(Dashboard!$B$53))*COS(C142)*SIN(D142)))</f>
        <v/>
      </c>
      <c r="F142" s="1" t="str">
        <f aca="false">IF(A142="","",24/PI()*D142)</f>
        <v/>
      </c>
      <c r="H142" s="1" t="n">
        <v>138</v>
      </c>
      <c r="I142" s="1" t="n">
        <f aca="false">0.409*SIN(2*PI()*H142/365-1.39)</f>
        <v>0.340934966014033</v>
      </c>
      <c r="J142" s="1" t="n">
        <f aca="false">ACOS(-TAN(RADIANS(Dashboard!$B$53))*TAN(I142))</f>
        <v>1.67608409146538</v>
      </c>
      <c r="K142" s="1" t="n">
        <f aca="false">(24*60/PI())*0.082*(1+0.033*COS(2*PI()*H142/365))*(J142*SIN(RADIANS(Dashboard!$B$53))*SIN(I142)+COS(RADIANS(Dashboard!$B$53))*COS(I142)*SIN(J142))</f>
        <v>38.8129307675725</v>
      </c>
      <c r="L142" s="1" t="n">
        <f aca="false">24/PI()*J142</f>
        <v>12.8043392733314</v>
      </c>
    </row>
    <row r="143" customFormat="false" ht="15" hidden="false" customHeight="true" outlineLevel="0" collapsed="false">
      <c r="A143" s="1" t="str">
        <f aca="false">IF(OR(A142="",A142&gt;=Dashboard!$B$55),"",A142+1)</f>
        <v/>
      </c>
      <c r="B143" s="1" t="str">
        <f aca="false">IF(A143="","",A143-DATE(YEAR(A143),1,0))</f>
        <v/>
      </c>
      <c r="C143" s="1" t="str">
        <f aca="false">IF(A143="","",0.409*SIN(2*PI()*B143/365-1.39))</f>
        <v/>
      </c>
      <c r="D143" s="1" t="str">
        <f aca="false">IF(A143="","",ACOS(-TAN(RADIANS(Dashboard!$B$53))*TAN(C143)))</f>
        <v/>
      </c>
      <c r="E143" s="1" t="str">
        <f aca="false">IF(A143="","",(24*60/PI())*0.082*(1+0.033*COS(2*PI()*B143/365))*(D143*SIN(RADIANS(Dashboard!$B$53))*SIN(C143)+COS(RADIANS(Dashboard!$B$53))*COS(C143)*SIN(D143)))</f>
        <v/>
      </c>
      <c r="F143" s="1" t="str">
        <f aca="false">IF(A143="","",24/PI()*D143)</f>
        <v/>
      </c>
      <c r="H143" s="1" t="n">
        <v>139</v>
      </c>
      <c r="I143" s="1" t="n">
        <f aca="false">0.409*SIN(2*PI()*H143/365-1.39)</f>
        <v>0.344773465768472</v>
      </c>
      <c r="J143" s="1" t="n">
        <f aca="false">ACOS(-TAN(RADIANS(Dashboard!$B$53))*TAN(I143))</f>
        <v>1.67737320750981</v>
      </c>
      <c r="K143" s="1" t="n">
        <f aca="false">(24*60/PI())*0.082*(1+0.033*COS(2*PI()*H143/365))*(J143*SIN(RADIANS(Dashboard!$B$53))*SIN(I143)+COS(RADIANS(Dashboard!$B$53))*COS(I143)*SIN(J143))</f>
        <v>38.8154305661538</v>
      </c>
      <c r="L143" s="1" t="n">
        <f aca="false">24/PI()*J143</f>
        <v>12.8141873944845</v>
      </c>
    </row>
    <row r="144" customFormat="false" ht="15" hidden="false" customHeight="true" outlineLevel="0" collapsed="false">
      <c r="A144" s="1" t="str">
        <f aca="false">IF(OR(A143="",A143&gt;=Dashboard!$B$55),"",A143+1)</f>
        <v/>
      </c>
      <c r="B144" s="1" t="str">
        <f aca="false">IF(A144="","",A144-DATE(YEAR(A144),1,0))</f>
        <v/>
      </c>
      <c r="C144" s="1" t="str">
        <f aca="false">IF(A144="","",0.409*SIN(2*PI()*B144/365-1.39))</f>
        <v/>
      </c>
      <c r="D144" s="1" t="str">
        <f aca="false">IF(A144="","",ACOS(-TAN(RADIANS(Dashboard!$B$53))*TAN(C144)))</f>
        <v/>
      </c>
      <c r="E144" s="1" t="str">
        <f aca="false">IF(A144="","",(24*60/PI())*0.082*(1+0.033*COS(2*PI()*B144/365))*(D144*SIN(RADIANS(Dashboard!$B$53))*SIN(C144)+COS(RADIANS(Dashboard!$B$53))*COS(C144)*SIN(D144)))</f>
        <v/>
      </c>
      <c r="F144" s="1" t="str">
        <f aca="false">IF(A144="","",24/PI()*D144)</f>
        <v/>
      </c>
      <c r="H144" s="1" t="n">
        <v>140</v>
      </c>
      <c r="I144" s="1" t="n">
        <f aca="false">0.409*SIN(2*PI()*H144/365-1.39)</f>
        <v>0.348509801704183</v>
      </c>
      <c r="J144" s="1" t="n">
        <f aca="false">ACOS(-TAN(RADIANS(Dashboard!$B$53))*TAN(I144))</f>
        <v>1.67863160212494</v>
      </c>
      <c r="K144" s="1" t="n">
        <f aca="false">(24*60/PI())*0.082*(1+0.033*COS(2*PI()*H144/365))*(J144*SIN(RADIANS(Dashboard!$B$53))*SIN(I144)+COS(RADIANS(Dashboard!$B$53))*COS(I144)*SIN(J144))</f>
        <v>38.8172252461995</v>
      </c>
      <c r="L144" s="1" t="n">
        <f aca="false">24/PI()*J144</f>
        <v>12.8238008212057</v>
      </c>
    </row>
    <row r="145" customFormat="false" ht="15" hidden="false" customHeight="true" outlineLevel="0" collapsed="false">
      <c r="A145" s="1" t="str">
        <f aca="false">IF(OR(A144="",A144&gt;=Dashboard!$B$55),"",A144+1)</f>
        <v/>
      </c>
      <c r="B145" s="1" t="str">
        <f aca="false">IF(A145="","",A145-DATE(YEAR(A145),1,0))</f>
        <v/>
      </c>
      <c r="C145" s="1" t="str">
        <f aca="false">IF(A145="","",0.409*SIN(2*PI()*B145/365-1.39))</f>
        <v/>
      </c>
      <c r="D145" s="1" t="str">
        <f aca="false">IF(A145="","",ACOS(-TAN(RADIANS(Dashboard!$B$53))*TAN(C145)))</f>
        <v/>
      </c>
      <c r="E145" s="1" t="str">
        <f aca="false">IF(A145="","",(24*60/PI())*0.082*(1+0.033*COS(2*PI()*B145/365))*(D145*SIN(RADIANS(Dashboard!$B$53))*SIN(C145)+COS(RADIANS(Dashboard!$B$53))*COS(C145)*SIN(D145)))</f>
        <v/>
      </c>
      <c r="F145" s="1" t="str">
        <f aca="false">IF(A145="","",24/PI()*D145)</f>
        <v/>
      </c>
      <c r="H145" s="1" t="n">
        <v>141</v>
      </c>
      <c r="I145" s="1" t="n">
        <f aca="false">0.409*SIN(2*PI()*H145/365-1.39)</f>
        <v>0.352142866664192</v>
      </c>
      <c r="J145" s="1" t="n">
        <f aca="false">ACOS(-TAN(RADIANS(Dashboard!$B$53))*TAN(I145))</f>
        <v>1.67985866060258</v>
      </c>
      <c r="K145" s="1" t="n">
        <f aca="false">(24*60/PI())*0.082*(1+0.033*COS(2*PI()*H145/365))*(J145*SIN(RADIANS(Dashboard!$B$53))*SIN(I145)+COS(RADIANS(Dashboard!$B$53))*COS(I145)*SIN(J145))</f>
        <v>38.8183561564762</v>
      </c>
      <c r="L145" s="1" t="n">
        <f aca="false">24/PI()*J145</f>
        <v>12.8331748574703</v>
      </c>
    </row>
    <row r="146" customFormat="false" ht="15" hidden="false" customHeight="true" outlineLevel="0" collapsed="false">
      <c r="A146" s="1" t="str">
        <f aca="false">IF(OR(A145="",A145&gt;=Dashboard!$B$55),"",A145+1)</f>
        <v/>
      </c>
      <c r="B146" s="1" t="str">
        <f aca="false">IF(A146="","",A146-DATE(YEAR(A146),1,0))</f>
        <v/>
      </c>
      <c r="C146" s="1" t="str">
        <f aca="false">IF(A146="","",0.409*SIN(2*PI()*B146/365-1.39))</f>
        <v/>
      </c>
      <c r="D146" s="1" t="str">
        <f aca="false">IF(A146="","",ACOS(-TAN(RADIANS(Dashboard!$B$53))*TAN(C146)))</f>
        <v/>
      </c>
      <c r="E146" s="1" t="str">
        <f aca="false">IF(A146="","",(24*60/PI())*0.082*(1+0.033*COS(2*PI()*B146/365))*(D146*SIN(RADIANS(Dashboard!$B$53))*SIN(C146)+COS(RADIANS(Dashboard!$B$53))*COS(C146)*SIN(D146)))</f>
        <v/>
      </c>
      <c r="F146" s="1" t="str">
        <f aca="false">IF(A146="","",24/PI()*D146)</f>
        <v/>
      </c>
      <c r="H146" s="1" t="n">
        <v>142</v>
      </c>
      <c r="I146" s="1" t="n">
        <f aca="false">0.409*SIN(2*PI()*H146/365-1.39)</f>
        <v>0.355671584092942</v>
      </c>
      <c r="J146" s="1" t="n">
        <f aca="false">ACOS(-TAN(RADIANS(Dashboard!$B$53))*TAN(I146))</f>
        <v>1.68105377466498</v>
      </c>
      <c r="K146" s="1" t="n">
        <f aca="false">(24*60/PI())*0.082*(1+0.033*COS(2*PI()*H146/365))*(J146*SIN(RADIANS(Dashboard!$B$53))*SIN(I146)+COS(RADIANS(Dashboard!$B$53))*COS(I146)*SIN(J146))</f>
        <v>38.8188640629106</v>
      </c>
      <c r="L146" s="1" t="n">
        <f aca="false">24/PI()*J146</f>
        <v>12.8423048563786</v>
      </c>
    </row>
    <row r="147" customFormat="false" ht="15" hidden="false" customHeight="true" outlineLevel="0" collapsed="false">
      <c r="A147" s="1" t="str">
        <f aca="false">IF(OR(A146="",A146&gt;=Dashboard!$B$55),"",A146+1)</f>
        <v/>
      </c>
      <c r="B147" s="1" t="str">
        <f aca="false">IF(A147="","",A147-DATE(YEAR(A147),1,0))</f>
        <v/>
      </c>
      <c r="C147" s="1" t="str">
        <f aca="false">IF(A147="","",0.409*SIN(2*PI()*B147/365-1.39))</f>
        <v/>
      </c>
      <c r="D147" s="1" t="str">
        <f aca="false">IF(A147="","",ACOS(-TAN(RADIANS(Dashboard!$B$53))*TAN(C147)))</f>
        <v/>
      </c>
      <c r="E147" s="1" t="str">
        <f aca="false">IF(A147="","",(24*60/PI())*0.082*(1+0.033*COS(2*PI()*B147/365))*(D147*SIN(RADIANS(Dashboard!$B$53))*SIN(C147)+COS(RADIANS(Dashboard!$B$53))*COS(C147)*SIN(D147)))</f>
        <v/>
      </c>
      <c r="F147" s="1" t="str">
        <f aca="false">IF(A147="","",24/PI()*D147)</f>
        <v/>
      </c>
      <c r="H147" s="1" t="n">
        <v>143</v>
      </c>
      <c r="I147" s="1" t="n">
        <f aca="false">0.409*SIN(2*PI()*H147/365-1.39)</f>
        <v>0.359094908355304</v>
      </c>
      <c r="J147" s="1" t="n">
        <f aca="false">ACOS(-TAN(RADIANS(Dashboard!$B$53))*TAN(I147))</f>
        <v>1.68221634333135</v>
      </c>
      <c r="K147" s="1" t="n">
        <f aca="false">(24*60/PI())*0.082*(1+0.033*COS(2*PI()*H147/365))*(J147*SIN(RADIANS(Dashboard!$B$53))*SIN(I147)+COS(RADIANS(Dashboard!$B$53))*COS(I147)*SIN(J147))</f>
        <v>38.8187890894444</v>
      </c>
      <c r="L147" s="1" t="n">
        <f aca="false">24/PI()*J147</f>
        <v>12.8511862267756</v>
      </c>
    </row>
    <row r="148" customFormat="false" ht="15" hidden="false" customHeight="true" outlineLevel="0" collapsed="false">
      <c r="A148" s="1" t="str">
        <f aca="false">IF(OR(A147="",A147&gt;=Dashboard!$B$55),"",A147+1)</f>
        <v/>
      </c>
      <c r="B148" s="1" t="str">
        <f aca="false">IF(A148="","",A148-DATE(YEAR(A148),1,0))</f>
        <v/>
      </c>
      <c r="C148" s="1" t="str">
        <f aca="false">IF(A148="","",0.409*SIN(2*PI()*B148/365-1.39))</f>
        <v/>
      </c>
      <c r="D148" s="1" t="str">
        <f aca="false">IF(A148="","",ACOS(-TAN(RADIANS(Dashboard!$B$53))*TAN(C148)))</f>
        <v/>
      </c>
      <c r="E148" s="1" t="str">
        <f aca="false">IF(A148="","",(24*60/PI())*0.082*(1+0.033*COS(2*PI()*B148/365))*(D148*SIN(RADIANS(Dashboard!$B$53))*SIN(C148)+COS(RADIANS(Dashboard!$B$53))*COS(C148)*SIN(D148)))</f>
        <v/>
      </c>
      <c r="F148" s="1" t="str">
        <f aca="false">IF(A148="","",24/PI()*D148)</f>
        <v/>
      </c>
      <c r="H148" s="1" t="n">
        <v>144</v>
      </c>
      <c r="I148" s="1" t="n">
        <f aca="false">0.409*SIN(2*PI()*H148/365-1.39)</f>
        <v>0.362411825046418</v>
      </c>
      <c r="J148" s="1" t="n">
        <f aca="false">ACOS(-TAN(RADIANS(Dashboard!$B$53))*TAN(I148))</f>
        <v>1.68334577379737</v>
      </c>
      <c r="K148" s="1" t="n">
        <f aca="false">(24*60/PI())*0.082*(1+0.033*COS(2*PI()*H148/365))*(J148*SIN(RADIANS(Dashboard!$B$53))*SIN(I148)+COS(RADIANS(Dashboard!$B$53))*COS(I148)*SIN(J148))</f>
        <v>38.8181706603938</v>
      </c>
      <c r="L148" s="1" t="n">
        <f aca="false">24/PI()*J148</f>
        <v>12.8598144399698</v>
      </c>
    </row>
    <row r="149" customFormat="false" ht="15" hidden="false" customHeight="true" outlineLevel="0" collapsed="false">
      <c r="A149" s="1" t="str">
        <f aca="false">IF(OR(A148="",A148&gt;=Dashboard!$B$55),"",A148+1)</f>
        <v/>
      </c>
      <c r="B149" s="1" t="str">
        <f aca="false">IF(A149="","",A149-DATE(YEAR(A149),1,0))</f>
        <v/>
      </c>
      <c r="C149" s="1" t="str">
        <f aca="false">IF(A149="","",0.409*SIN(2*PI()*B149/365-1.39))</f>
        <v/>
      </c>
      <c r="D149" s="1" t="str">
        <f aca="false">IF(A149="","",ACOS(-TAN(RADIANS(Dashboard!$B$53))*TAN(C149)))</f>
        <v/>
      </c>
      <c r="E149" s="1" t="str">
        <f aca="false">IF(A149="","",(24*60/PI())*0.082*(1+0.033*COS(2*PI()*B149/365))*(D149*SIN(RADIANS(Dashboard!$B$53))*SIN(C149)+COS(RADIANS(Dashboard!$B$53))*COS(C149)*SIN(D149)))</f>
        <v/>
      </c>
      <c r="F149" s="1" t="str">
        <f aca="false">IF(A149="","",24/PI()*D149)</f>
        <v/>
      </c>
      <c r="H149" s="1" t="n">
        <v>145</v>
      </c>
      <c r="I149" s="1" t="n">
        <f aca="false">0.409*SIN(2*PI()*H149/365-1.39)</f>
        <v>0.365621351292283</v>
      </c>
      <c r="J149" s="1" t="n">
        <f aca="false">ACOS(-TAN(RADIANS(Dashboard!$B$53))*TAN(I149))</f>
        <v>1.68444148232528</v>
      </c>
      <c r="K149" s="1" t="n">
        <f aca="false">(24*60/PI())*0.082*(1+0.033*COS(2*PI()*H149/365))*(J149*SIN(RADIANS(Dashboard!$B$53))*SIN(I149)+COS(RADIANS(Dashboard!$B$53))*COS(I149)*SIN(J149))</f>
        <v>38.8170474443672</v>
      </c>
      <c r="L149" s="1" t="n">
        <f aca="false">24/PI()*J149</f>
        <v>12.8681850365332</v>
      </c>
    </row>
    <row r="150" customFormat="false" ht="15" hidden="false" customHeight="true" outlineLevel="0" collapsed="false">
      <c r="A150" s="1" t="str">
        <f aca="false">IF(OR(A149="",A149&gt;=Dashboard!$B$55),"",A149+1)</f>
        <v/>
      </c>
      <c r="B150" s="1" t="str">
        <f aca="false">IF(A150="","",A150-DATE(YEAR(A150),1,0))</f>
        <v/>
      </c>
      <c r="C150" s="1" t="str">
        <f aca="false">IF(A150="","",0.409*SIN(2*PI()*B150/365-1.39))</f>
        <v/>
      </c>
      <c r="D150" s="1" t="str">
        <f aca="false">IF(A150="","",ACOS(-TAN(RADIANS(Dashboard!$B$53))*TAN(C150)))</f>
        <v/>
      </c>
      <c r="E150" s="1" t="str">
        <f aca="false">IF(A150="","",(24*60/PI())*0.082*(1+0.033*COS(2*PI()*B150/365))*(D150*SIN(RADIANS(Dashboard!$B$53))*SIN(C150)+COS(RADIANS(Dashboard!$B$53))*COS(C150)*SIN(D150)))</f>
        <v/>
      </c>
      <c r="F150" s="1" t="str">
        <f aca="false">IF(A150="","",24/PI()*D150)</f>
        <v/>
      </c>
      <c r="H150" s="1" t="n">
        <v>146</v>
      </c>
      <c r="I150" s="1" t="n">
        <f aca="false">0.409*SIN(2*PI()*H150/365-1.39)</f>
        <v>0.368722536041004</v>
      </c>
      <c r="J150" s="1" t="n">
        <f aca="false">ACOS(-TAN(RADIANS(Dashboard!$B$53))*TAN(I150))</f>
        <v>1.68550289514208</v>
      </c>
      <c r="K150" s="1" t="n">
        <f aca="false">(24*60/PI())*0.082*(1+0.033*COS(2*PI()*H150/365))*(J150*SIN(RADIANS(Dashboard!$B$53))*SIN(I150)+COS(RADIANS(Dashboard!$B$53))*COS(I150)*SIN(J150))</f>
        <v>38.815457299789</v>
      </c>
      <c r="L150" s="1" t="n">
        <f aca="false">24/PI()*J150</f>
        <v>12.876293633163</v>
      </c>
    </row>
    <row r="151" customFormat="false" ht="15" hidden="false" customHeight="true" outlineLevel="0" collapsed="false">
      <c r="A151" s="1" t="str">
        <f aca="false">IF(OR(A150="",A150&gt;=Dashboard!$B$55),"",A150+1)</f>
        <v/>
      </c>
      <c r="B151" s="1" t="str">
        <f aca="false">IF(A151="","",A151-DATE(YEAR(A151),1,0))</f>
        <v/>
      </c>
      <c r="C151" s="1" t="str">
        <f aca="false">IF(A151="","",0.409*SIN(2*PI()*B151/365-1.39))</f>
        <v/>
      </c>
      <c r="D151" s="1" t="str">
        <f aca="false">IF(A151="","",ACOS(-TAN(RADIANS(Dashboard!$B$53))*TAN(C151)))</f>
        <v/>
      </c>
      <c r="E151" s="1" t="str">
        <f aca="false">IF(A151="","",(24*60/PI())*0.082*(1+0.033*COS(2*PI()*B151/365))*(D151*SIN(RADIANS(Dashboard!$B$53))*SIN(C151)+COS(RADIANS(Dashboard!$B$53))*COS(C151)*SIN(D151)))</f>
        <v/>
      </c>
      <c r="F151" s="1" t="str">
        <f aca="false">IF(A151="","",24/PI()*D151)</f>
        <v/>
      </c>
      <c r="H151" s="1" t="n">
        <v>147</v>
      </c>
      <c r="I151" s="1" t="n">
        <f aca="false">0.409*SIN(2*PI()*H151/365-1.39)</f>
        <v>0.371714460344613</v>
      </c>
      <c r="J151" s="1" t="n">
        <f aca="false">ACOS(-TAN(RADIANS(Dashboard!$B$53))*TAN(I151))</f>
        <v>1.68652944934324</v>
      </c>
      <c r="K151" s="1" t="n">
        <f aca="false">(24*60/PI())*0.082*(1+0.033*COS(2*PI()*H151/365))*(J151*SIN(RADIANS(Dashboard!$B$53))*SIN(I151)+COS(RADIANS(Dashboard!$B$53))*COS(I151)*SIN(J151))</f>
        <v>38.8134372220757</v>
      </c>
      <c r="L151" s="1" t="n">
        <f aca="false">24/PI()*J151</f>
        <v>12.8841359295854</v>
      </c>
    </row>
    <row r="152" customFormat="false" ht="15" hidden="false" customHeight="true" outlineLevel="0" collapsed="false">
      <c r="A152" s="1" t="str">
        <f aca="false">IF(OR(A151="",A151&gt;=Dashboard!$B$55),"",A151+1)</f>
        <v/>
      </c>
      <c r="B152" s="1" t="str">
        <f aca="false">IF(A152="","",A152-DATE(YEAR(A152),1,0))</f>
        <v/>
      </c>
      <c r="C152" s="1" t="str">
        <f aca="false">IF(A152="","",0.409*SIN(2*PI()*B152/365-1.39))</f>
        <v/>
      </c>
      <c r="D152" s="1" t="str">
        <f aca="false">IF(A152="","",ACOS(-TAN(RADIANS(Dashboard!$B$53))*TAN(C152)))</f>
        <v/>
      </c>
      <c r="E152" s="1" t="str">
        <f aca="false">IF(A152="","",(24*60/PI())*0.082*(1+0.033*COS(2*PI()*B152/365))*(D152*SIN(RADIANS(Dashboard!$B$53))*SIN(C152)+COS(RADIANS(Dashboard!$B$53))*COS(C152)*SIN(D152)))</f>
        <v/>
      </c>
      <c r="F152" s="1" t="str">
        <f aca="false">IF(A152="","",24/PI()*D152)</f>
        <v/>
      </c>
      <c r="H152" s="1" t="n">
        <v>148</v>
      </c>
      <c r="I152" s="1" t="n">
        <f aca="false">0.409*SIN(2*PI()*H152/365-1.39)</f>
        <v>0.374596237631367</v>
      </c>
      <c r="J152" s="1" t="n">
        <f aca="false">ACOS(-TAN(RADIANS(Dashboard!$B$53))*TAN(I152))</f>
        <v>1.68752059379915</v>
      </c>
      <c r="K152" s="1" t="n">
        <f aca="false">(24*60/PI())*0.082*(1+0.033*COS(2*PI()*H152/365))*(J152*SIN(RADIANS(Dashboard!$B$53))*SIN(I152)+COS(RADIANS(Dashboard!$B$53))*COS(I152)*SIN(J152))</f>
        <v>38.8110232925052</v>
      </c>
      <c r="L152" s="1" t="n">
        <f aca="false">24/PI()*J152</f>
        <v>12.8917077154803</v>
      </c>
    </row>
    <row r="153" customFormat="false" ht="15" hidden="false" customHeight="true" outlineLevel="0" collapsed="false">
      <c r="A153" s="1" t="str">
        <f aca="false">IF(OR(A152="",A152&gt;=Dashboard!$B$55),"",A152+1)</f>
        <v/>
      </c>
      <c r="B153" s="1" t="str">
        <f aca="false">IF(A153="","",A153-DATE(YEAR(A153),1,0))</f>
        <v/>
      </c>
      <c r="C153" s="1" t="str">
        <f aca="false">IF(A153="","",0.409*SIN(2*PI()*B153/365-1.39))</f>
        <v/>
      </c>
      <c r="D153" s="1" t="str">
        <f aca="false">IF(A153="","",ACOS(-TAN(RADIANS(Dashboard!$B$53))*TAN(C153)))</f>
        <v/>
      </c>
      <c r="E153" s="1" t="str">
        <f aca="false">IF(A153="","",(24*60/PI())*0.082*(1+0.033*COS(2*PI()*B153/365))*(D153*SIN(RADIANS(Dashboard!$B$53))*SIN(C153)+COS(RADIANS(Dashboard!$B$53))*COS(C153)*SIN(D153)))</f>
        <v/>
      </c>
      <c r="F153" s="1" t="str">
        <f aca="false">IF(A153="","",24/PI()*D153)</f>
        <v/>
      </c>
      <c r="H153" s="1" t="n">
        <v>149</v>
      </c>
      <c r="I153" s="1" t="n">
        <f aca="false">0.409*SIN(2*PI()*H153/365-1.39)</f>
        <v>0.377367013968461</v>
      </c>
      <c r="J153" s="1" t="n">
        <f aca="false">ACOS(-TAN(RADIANS(Dashboard!$B$53))*TAN(I153))</f>
        <v>1.68847579006168</v>
      </c>
      <c r="K153" s="1" t="n">
        <f aca="false">(24*60/PI())*0.082*(1+0.033*COS(2*PI()*H153/365))*(J153*SIN(RADIANS(Dashboard!$B$53))*SIN(I153)+COS(RADIANS(Dashboard!$B$53))*COS(I153)*SIN(J153))</f>
        <v>38.8082506288184</v>
      </c>
      <c r="L153" s="1" t="n">
        <f aca="false">24/PI()*J153</f>
        <v>12.8990048774069</v>
      </c>
    </row>
    <row r="154" customFormat="false" ht="15" hidden="false" customHeight="true" outlineLevel="0" collapsed="false">
      <c r="A154" s="1" t="str">
        <f aca="false">IF(OR(A153="",A153&gt;=Dashboard!$B$55),"",A153+1)</f>
        <v/>
      </c>
      <c r="B154" s="1" t="str">
        <f aca="false">IF(A154="","",A154-DATE(YEAR(A154),1,0))</f>
        <v/>
      </c>
      <c r="C154" s="1" t="str">
        <f aca="false">IF(A154="","",0.409*SIN(2*PI()*B154/365-1.39))</f>
        <v/>
      </c>
      <c r="D154" s="1" t="str">
        <f aca="false">IF(A154="","",ACOS(-TAN(RADIANS(Dashboard!$B$53))*TAN(C154)))</f>
        <v/>
      </c>
      <c r="E154" s="1" t="str">
        <f aca="false">IF(A154="","",(24*60/PI())*0.082*(1+0.033*COS(2*PI()*B154/365))*(D154*SIN(RADIANS(Dashboard!$B$53))*SIN(C154)+COS(RADIANS(Dashboard!$B$53))*COS(C154)*SIN(D154)))</f>
        <v/>
      </c>
      <c r="F154" s="1" t="str">
        <f aca="false">IF(A154="","",24/PI()*D154)</f>
        <v/>
      </c>
      <c r="H154" s="1" t="n">
        <v>150</v>
      </c>
      <c r="I154" s="1" t="n">
        <f aca="false">0.409*SIN(2*PI()*H154/365-1.39)</f>
        <v>0.380025968315069</v>
      </c>
      <c r="J154" s="1" t="n">
        <f aca="false">ACOS(-TAN(RADIANS(Dashboard!$B$53))*TAN(I154))</f>
        <v>1.68939451326772</v>
      </c>
      <c r="K154" s="1" t="n">
        <f aca="false">(24*60/PI())*0.082*(1+0.033*COS(2*PI()*H154/365))*(J154*SIN(RADIANS(Dashboard!$B$53))*SIN(I154)+COS(RADIANS(Dashboard!$B$53))*COS(I154)*SIN(J154))</f>
        <v>38.8051533375887</v>
      </c>
      <c r="L154" s="1" t="n">
        <f aca="false">24/PI()*J154</f>
        <v>12.9060234057065</v>
      </c>
    </row>
    <row r="155" customFormat="false" ht="15" hidden="false" customHeight="true" outlineLevel="0" collapsed="false">
      <c r="A155" s="1" t="str">
        <f aca="false">IF(OR(A154="",A154&gt;=Dashboard!$B$55),"",A154+1)</f>
        <v/>
      </c>
      <c r="B155" s="1" t="str">
        <f aca="false">IF(A155="","",A155-DATE(YEAR(A155),1,0))</f>
        <v/>
      </c>
      <c r="C155" s="1" t="str">
        <f aca="false">IF(A155="","",0.409*SIN(2*PI()*B155/365-1.39))</f>
        <v/>
      </c>
      <c r="D155" s="1" t="str">
        <f aca="false">IF(A155="","",ACOS(-TAN(RADIANS(Dashboard!$B$53))*TAN(C155)))</f>
        <v/>
      </c>
      <c r="E155" s="1" t="str">
        <f aca="false">IF(A155="","",(24*60/PI())*0.082*(1+0.033*COS(2*PI()*B155/365))*(D155*SIN(RADIANS(Dashboard!$B$53))*SIN(C155)+COS(RADIANS(Dashboard!$B$53))*COS(C155)*SIN(D155)))</f>
        <v/>
      </c>
      <c r="F155" s="1" t="str">
        <f aca="false">IF(A155="","",24/PI()*D155)</f>
        <v/>
      </c>
      <c r="H155" s="1" t="n">
        <v>151</v>
      </c>
      <c r="I155" s="1" t="n">
        <f aca="false">0.409*SIN(2*PI()*H155/365-1.39)</f>
        <v>0.382572312765634</v>
      </c>
      <c r="J155" s="1" t="n">
        <f aca="false">ACOS(-TAN(RADIANS(Dashboard!$B$53))*TAN(I155))</f>
        <v>1.69027625303704</v>
      </c>
      <c r="K155" s="1" t="n">
        <f aca="false">(24*60/PI())*0.082*(1+0.033*COS(2*PI()*H155/365))*(J155*SIN(RADIANS(Dashboard!$B$53))*SIN(I155)+COS(RADIANS(Dashboard!$B$53))*COS(I155)*SIN(J155))</f>
        <v>38.8017644683909</v>
      </c>
      <c r="L155" s="1" t="n">
        <f aca="false">24/PI()*J155</f>
        <v>12.9127594013613</v>
      </c>
    </row>
    <row r="156" customFormat="false" ht="15" hidden="false" customHeight="true" outlineLevel="0" collapsed="false">
      <c r="A156" s="1" t="str">
        <f aca="false">IF(OR(A155="",A155&gt;=Dashboard!$B$55),"",A155+1)</f>
        <v/>
      </c>
      <c r="B156" s="1" t="str">
        <f aca="false">IF(A156="","",A156-DATE(YEAR(A156),1,0))</f>
        <v/>
      </c>
      <c r="C156" s="1" t="str">
        <f aca="false">IF(A156="","",0.409*SIN(2*PI()*B156/365-1.39))</f>
        <v/>
      </c>
      <c r="D156" s="1" t="str">
        <f aca="false">IF(A156="","",ACOS(-TAN(RADIANS(Dashboard!$B$53))*TAN(C156)))</f>
        <v/>
      </c>
      <c r="E156" s="1" t="str">
        <f aca="false">IF(A156="","",(24*60/PI())*0.082*(1+0.033*COS(2*PI()*B156/365))*(D156*SIN(RADIANS(Dashboard!$B$53))*SIN(C156)+COS(RADIANS(Dashboard!$B$53))*COS(C156)*SIN(D156)))</f>
        <v/>
      </c>
      <c r="F156" s="1" t="str">
        <f aca="false">IF(A156="","",24/PI()*D156)</f>
        <v/>
      </c>
      <c r="H156" s="1" t="n">
        <v>152</v>
      </c>
      <c r="I156" s="1" t="n">
        <f aca="false">0.409*SIN(2*PI()*H156/365-1.39)</f>
        <v>0.385005292783339</v>
      </c>
      <c r="J156" s="1" t="n">
        <f aca="false">ACOS(-TAN(RADIANS(Dashboard!$B$53))*TAN(I156))</f>
        <v>1.6911205143613</v>
      </c>
      <c r="K156" s="1" t="n">
        <f aca="false">(24*60/PI())*0.082*(1+0.033*COS(2*PI()*H156/365))*(J156*SIN(RADIANS(Dashboard!$B$53))*SIN(I156)+COS(RADIANS(Dashboard!$B$53))*COS(I156)*SIN(J156))</f>
        <v>38.7981159697994</v>
      </c>
      <c r="L156" s="1" t="n">
        <f aca="false">24/PI()*J156</f>
        <v>12.919209082786</v>
      </c>
    </row>
    <row r="157" customFormat="false" ht="15" hidden="false" customHeight="true" outlineLevel="0" collapsed="false">
      <c r="A157" s="1" t="str">
        <f aca="false">IF(OR(A156="",A156&gt;=Dashboard!$B$55),"",A156+1)</f>
        <v/>
      </c>
      <c r="B157" s="1" t="str">
        <f aca="false">IF(A157="","",A157-DATE(YEAR(A157),1,0))</f>
        <v/>
      </c>
      <c r="C157" s="1" t="str">
        <f aca="false">IF(A157="","",0.409*SIN(2*PI()*B157/365-1.39))</f>
        <v/>
      </c>
      <c r="D157" s="1" t="str">
        <f aca="false">IF(A157="","",ACOS(-TAN(RADIANS(Dashboard!$B$53))*TAN(C157)))</f>
        <v/>
      </c>
      <c r="E157" s="1" t="str">
        <f aca="false">IF(A157="","",(24*60/PI())*0.082*(1+0.033*COS(2*PI()*B157/365))*(D157*SIN(RADIANS(Dashboard!$B$53))*SIN(C157)+COS(RADIANS(Dashboard!$B$53))*COS(C157)*SIN(D157)))</f>
        <v/>
      </c>
      <c r="F157" s="1" t="str">
        <f aca="false">IF(A157="","",24/PI()*D157)</f>
        <v/>
      </c>
      <c r="H157" s="1" t="n">
        <v>153</v>
      </c>
      <c r="I157" s="1" t="n">
        <f aca="false">0.409*SIN(2*PI()*H157/365-1.39)</f>
        <v>0.387324187423698</v>
      </c>
      <c r="J157" s="1" t="n">
        <f aca="false">ACOS(-TAN(RADIANS(Dashboard!$B$53))*TAN(I157))</f>
        <v>1.69192681848121</v>
      </c>
      <c r="K157" s="1" t="n">
        <f aca="false">(24*60/PI())*0.082*(1+0.033*COS(2*PI()*H157/365))*(J157*SIN(RADIANS(Dashboard!$B$53))*SIN(I157)+COS(RADIANS(Dashboard!$B$53))*COS(I157)*SIN(J157))</f>
        <v>38.7942386472409</v>
      </c>
      <c r="L157" s="1" t="n">
        <f aca="false">24/PI()*J157</f>
        <v>12.9253687925294</v>
      </c>
    </row>
    <row r="158" customFormat="false" ht="15" hidden="false" customHeight="true" outlineLevel="0" collapsed="false">
      <c r="A158" s="1" t="str">
        <f aca="false">IF(OR(A157="",A157&gt;=Dashboard!$B$55),"",A157+1)</f>
        <v/>
      </c>
      <c r="B158" s="1" t="str">
        <f aca="false">IF(A158="","",A158-DATE(YEAR(A158),1,0))</f>
        <v/>
      </c>
      <c r="C158" s="1" t="str">
        <f aca="false">IF(A158="","",0.409*SIN(2*PI()*B158/365-1.39))</f>
        <v/>
      </c>
      <c r="D158" s="1" t="str">
        <f aca="false">IF(A158="","",ACOS(-TAN(RADIANS(Dashboard!$B$53))*TAN(C158)))</f>
        <v/>
      </c>
      <c r="E158" s="1" t="str">
        <f aca="false">IF(A158="","",(24*60/PI())*0.082*(1+0.033*COS(2*PI()*B158/365))*(D158*SIN(RADIANS(Dashboard!$B$53))*SIN(C158)+COS(RADIANS(Dashboard!$B$53))*COS(C158)*SIN(D158)))</f>
        <v/>
      </c>
      <c r="F158" s="1" t="str">
        <f aca="false">IF(A158="","",24/PI()*D158)</f>
        <v/>
      </c>
      <c r="H158" s="1" t="n">
        <v>154</v>
      </c>
      <c r="I158" s="1" t="n">
        <f aca="false">0.409*SIN(2*PI()*H158/365-1.39)</f>
        <v>0.389528309548183</v>
      </c>
      <c r="J158" s="1" t="n">
        <f aca="false">ACOS(-TAN(RADIANS(Dashboard!$B$53))*TAN(I158))</f>
        <v>1.69269470374895</v>
      </c>
      <c r="K158" s="1" t="n">
        <f aca="false">(24*60/PI())*0.082*(1+0.033*COS(2*PI()*H158/365))*(J158*SIN(RADIANS(Dashboard!$B$53))*SIN(I158)+COS(RADIANS(Dashboard!$B$53))*COS(I158)*SIN(J158))</f>
        <v>38.790162122727</v>
      </c>
      <c r="L158" s="1" t="n">
        <f aca="false">24/PI()*J158</f>
        <v>12.9312350038616</v>
      </c>
    </row>
    <row r="159" customFormat="false" ht="15" hidden="false" customHeight="true" outlineLevel="0" collapsed="false">
      <c r="A159" s="1" t="str">
        <f aca="false">IF(OR(A158="",A158&gt;=Dashboard!$B$55),"",A158+1)</f>
        <v/>
      </c>
      <c r="B159" s="1" t="str">
        <f aca="false">IF(A159="","",A159-DATE(YEAR(A159),1,0))</f>
        <v/>
      </c>
      <c r="C159" s="1" t="str">
        <f aca="false">IF(A159="","",0.409*SIN(2*PI()*B159/365-1.39))</f>
        <v/>
      </c>
      <c r="D159" s="1" t="str">
        <f aca="false">IF(A159="","",ACOS(-TAN(RADIANS(Dashboard!$B$53))*TAN(C159)))</f>
        <v/>
      </c>
      <c r="E159" s="1" t="str">
        <f aca="false">IF(A159="","",(24*60/PI())*0.082*(1+0.033*COS(2*PI()*B159/365))*(D159*SIN(RADIANS(Dashboard!$B$53))*SIN(C159)+COS(RADIANS(Dashboard!$B$53))*COS(C159)*SIN(D159)))</f>
        <v/>
      </c>
      <c r="F159" s="1" t="str">
        <f aca="false">IF(A159="","",24/PI()*D159)</f>
        <v/>
      </c>
      <c r="H159" s="1" t="n">
        <v>155</v>
      </c>
      <c r="I159" s="1" t="n">
        <f aca="false">0.409*SIN(2*PI()*H159/365-1.39)</f>
        <v>0.391617006027839</v>
      </c>
      <c r="J159" s="1" t="n">
        <f aca="false">ACOS(-TAN(RADIANS(Dashboard!$B$53))*TAN(I159))</f>
        <v>1.69342372647247</v>
      </c>
      <c r="K159" s="1" t="n">
        <f aca="false">(24*60/PI())*0.082*(1+0.033*COS(2*PI()*H159/365))*(J159*SIN(RADIANS(Dashboard!$B$53))*SIN(I159)+COS(RADIANS(Dashboard!$B$53))*COS(I159)*SIN(J159))</f>
        <v>38.785914796486</v>
      </c>
      <c r="L159" s="1" t="n">
        <f aca="false">24/PI()*J159</f>
        <v>12.9368043272252</v>
      </c>
    </row>
    <row r="160" customFormat="false" ht="15" hidden="false" customHeight="true" outlineLevel="0" collapsed="false">
      <c r="A160" s="1" t="str">
        <f aca="false">IF(OR(A159="",A159&gt;=Dashboard!$B$55),"",A159+1)</f>
        <v/>
      </c>
      <c r="B160" s="1" t="str">
        <f aca="false">IF(A160="","",A160-DATE(YEAR(A160),1,0))</f>
        <v/>
      </c>
      <c r="C160" s="1" t="str">
        <f aca="false">IF(A160="","",0.409*SIN(2*PI()*B160/365-1.39))</f>
        <v/>
      </c>
      <c r="D160" s="1" t="str">
        <f aca="false">IF(A160="","",ACOS(-TAN(RADIANS(Dashboard!$B$53))*TAN(C160)))</f>
        <v/>
      </c>
      <c r="E160" s="1" t="str">
        <f aca="false">IF(A160="","",(24*60/PI())*0.082*(1+0.033*COS(2*PI()*B160/365))*(D160*SIN(RADIANS(Dashboard!$B$53))*SIN(C160)+COS(RADIANS(Dashboard!$B$53))*COS(C160)*SIN(D160)))</f>
        <v/>
      </c>
      <c r="F160" s="1" t="str">
        <f aca="false">IF(A160="","",24/PI()*D160)</f>
        <v/>
      </c>
      <c r="H160" s="1" t="n">
        <v>156</v>
      </c>
      <c r="I160" s="1" t="n">
        <f aca="false">0.409*SIN(2*PI()*H160/365-1.39)</f>
        <v>0.393589657936822</v>
      </c>
      <c r="J160" s="1" t="n">
        <f aca="false">ACOS(-TAN(RADIANS(Dashboard!$B$53))*TAN(I160))</f>
        <v>1.694113461739</v>
      </c>
      <c r="K160" s="1" t="n">
        <f aca="false">(24*60/PI())*0.082*(1+0.033*COS(2*PI()*H160/365))*(J160*SIN(RADIANS(Dashboard!$B$53))*SIN(I160)+COS(RADIANS(Dashboard!$B$53))*COS(I160)*SIN(J160))</f>
        <v>38.7815238105129</v>
      </c>
      <c r="L160" s="1" t="n">
        <f aca="false">24/PI()*J160</f>
        <v>12.9420735165257</v>
      </c>
    </row>
    <row r="161" customFormat="false" ht="15" hidden="false" customHeight="true" outlineLevel="0" collapsed="false">
      <c r="A161" s="1" t="str">
        <f aca="false">IF(OR(A160="",A160&gt;=Dashboard!$B$55),"",A160+1)</f>
        <v/>
      </c>
      <c r="B161" s="1" t="str">
        <f aca="false">IF(A161="","",A161-DATE(YEAR(A161),1,0))</f>
        <v/>
      </c>
      <c r="C161" s="1" t="str">
        <f aca="false">IF(A161="","",0.409*SIN(2*PI()*B161/365-1.39))</f>
        <v/>
      </c>
      <c r="D161" s="1" t="str">
        <f aca="false">IF(A161="","",ACOS(-TAN(RADIANS(Dashboard!$B$53))*TAN(C161)))</f>
        <v/>
      </c>
      <c r="E161" s="1" t="str">
        <f aca="false">IF(A161="","",(24*60/PI())*0.082*(1+0.033*COS(2*PI()*B161/365))*(D161*SIN(RADIANS(Dashboard!$B$53))*SIN(C161)+COS(RADIANS(Dashboard!$B$53))*COS(C161)*SIN(D161)))</f>
        <v/>
      </c>
      <c r="F161" s="1" t="str">
        <f aca="false">IF(A161="","",24/PI()*D161)</f>
        <v/>
      </c>
      <c r="H161" s="1" t="n">
        <v>157</v>
      </c>
      <c r="I161" s="1" t="n">
        <f aca="false">0.409*SIN(2*PI()*H161/365-1.39)</f>
        <v>0.395445680735797</v>
      </c>
      <c r="J161" s="1" t="n">
        <f aca="false">ACOS(-TAN(RADIANS(Dashboard!$B$53))*TAN(I161))</f>
        <v>1.69476350421443</v>
      </c>
      <c r="K161" s="1" t="n">
        <f aca="false">(24*60/PI())*0.082*(1+0.033*COS(2*PI()*H161/365))*(J161*SIN(RADIANS(Dashboard!$B$53))*SIN(I161)+COS(RADIANS(Dashboard!$B$53))*COS(I161)*SIN(J161))</f>
        <v>38.7770150140545</v>
      </c>
      <c r="L161" s="1" t="n">
        <f aca="false">24/PI()*J161</f>
        <v>12.9470394752385</v>
      </c>
    </row>
    <row r="162" customFormat="false" ht="15" hidden="false" customHeight="true" outlineLevel="0" collapsed="false">
      <c r="A162" s="1" t="str">
        <f aca="false">IF(OR(A161="",A161&gt;=Dashboard!$B$55),"",A161+1)</f>
        <v/>
      </c>
      <c r="B162" s="1" t="str">
        <f aca="false">IF(A162="","",A162-DATE(YEAR(A162),1,0))</f>
        <v/>
      </c>
      <c r="C162" s="1" t="str">
        <f aca="false">IF(A162="","",0.409*SIN(2*PI()*B162/365-1.39))</f>
        <v/>
      </c>
      <c r="D162" s="1" t="str">
        <f aca="false">IF(A162="","",ACOS(-TAN(RADIANS(Dashboard!$B$53))*TAN(C162)))</f>
        <v/>
      </c>
      <c r="E162" s="1" t="str">
        <f aca="false">IF(A162="","",(24*60/PI())*0.082*(1+0.033*COS(2*PI()*B162/365))*(D162*SIN(RADIANS(Dashboard!$B$53))*SIN(C162)+COS(RADIANS(Dashboard!$B$53))*COS(C162)*SIN(D162)))</f>
        <v/>
      </c>
      <c r="F162" s="1" t="str">
        <f aca="false">IF(A162="","",24/PI()*D162)</f>
        <v/>
      </c>
      <c r="H162" s="1" t="n">
        <v>158</v>
      </c>
      <c r="I162" s="1" t="n">
        <f aca="false">0.409*SIN(2*PI()*H162/365-1.39)</f>
        <v>0.397184524445154</v>
      </c>
      <c r="J162" s="1" t="n">
        <f aca="false">ACOS(-TAN(RADIANS(Dashboard!$B$53))*TAN(I162))</f>
        <v>1.69537346891575</v>
      </c>
      <c r="K162" s="1" t="n">
        <f aca="false">(24*60/PI())*0.082*(1+0.033*COS(2*PI()*H162/365))*(J162*SIN(RADIANS(Dashboard!$B$53))*SIN(I162)+COS(RADIANS(Dashboard!$B$53))*COS(I162)*SIN(J162))</f>
        <v>38.7724129310431</v>
      </c>
      <c r="L162" s="1" t="n">
        <f aca="false">24/PI()*J162</f>
        <v>12.9516992623102</v>
      </c>
    </row>
    <row r="163" customFormat="false" ht="15" hidden="false" customHeight="true" outlineLevel="0" collapsed="false">
      <c r="A163" s="1" t="str">
        <f aca="false">IF(OR(A162="",A162&gt;=Dashboard!$B$55),"",A162+1)</f>
        <v/>
      </c>
      <c r="B163" s="1" t="str">
        <f aca="false">IF(A163="","",A163-DATE(YEAR(A163),1,0))</f>
        <v/>
      </c>
      <c r="C163" s="1" t="str">
        <f aca="false">IF(A163="","",0.409*SIN(2*PI()*B163/365-1.39))</f>
        <v/>
      </c>
      <c r="D163" s="1" t="str">
        <f aca="false">IF(A163="","",ACOS(-TAN(RADIANS(Dashboard!$B$53))*TAN(C163)))</f>
        <v/>
      </c>
      <c r="E163" s="1" t="str">
        <f aca="false">IF(A163="","",(24*60/PI())*0.082*(1+0.033*COS(2*PI()*B163/365))*(D163*SIN(RADIANS(Dashboard!$B$53))*SIN(C163)+COS(RADIANS(Dashboard!$B$53))*COS(C163)*SIN(D163)))</f>
        <v/>
      </c>
      <c r="F163" s="1" t="str">
        <f aca="false">IF(A163="","",24/PI()*D163)</f>
        <v/>
      </c>
      <c r="H163" s="1" t="n">
        <v>159</v>
      </c>
      <c r="I163" s="1" t="n">
        <f aca="false">0.409*SIN(2*PI()*H163/365-1.39)</f>
        <v>0.398805673807974</v>
      </c>
      <c r="J163" s="1" t="n">
        <f aca="false">ACOS(-TAN(RADIANS(Dashboard!$B$53))*TAN(I163))</f>
        <v>1.69594299195352</v>
      </c>
      <c r="K163" s="1" t="n">
        <f aca="false">(24*60/PI())*0.082*(1+0.033*COS(2*PI()*H163/365))*(J163*SIN(RADIANS(Dashboard!$B$53))*SIN(I163)+COS(RADIANS(Dashboard!$B$53))*COS(I163)*SIN(J163))</f>
        <v>38.7677407294904</v>
      </c>
      <c r="L163" s="1" t="n">
        <f aca="false">24/PI()*J163</f>
        <v>12.9560500978302</v>
      </c>
    </row>
    <row r="164" customFormat="false" ht="15" hidden="false" customHeight="true" outlineLevel="0" collapsed="false">
      <c r="A164" s="1" t="str">
        <f aca="false">IF(OR(A163="",A163&gt;=Dashboard!$B$55),"",A163+1)</f>
        <v/>
      </c>
      <c r="B164" s="1" t="str">
        <f aca="false">IF(A164="","",A164-DATE(YEAR(A164),1,0))</f>
        <v/>
      </c>
      <c r="C164" s="1" t="str">
        <f aca="false">IF(A164="","",0.409*SIN(2*PI()*B164/365-1.39))</f>
        <v/>
      </c>
      <c r="D164" s="1" t="str">
        <f aca="false">IF(A164="","",ACOS(-TAN(RADIANS(Dashboard!$B$53))*TAN(C164)))</f>
        <v/>
      </c>
      <c r="E164" s="1" t="str">
        <f aca="false">IF(A164="","",(24*60/PI())*0.082*(1+0.033*COS(2*PI()*B164/365))*(D164*SIN(RADIANS(Dashboard!$B$53))*SIN(C164)+COS(RADIANS(Dashboard!$B$53))*COS(C164)*SIN(D164)))</f>
        <v/>
      </c>
      <c r="F164" s="1" t="str">
        <f aca="false">IF(A164="","",24/PI()*D164)</f>
        <v/>
      </c>
      <c r="H164" s="1" t="n">
        <v>160</v>
      </c>
      <c r="I164" s="1" t="n">
        <f aca="false">0.409*SIN(2*PI()*H164/365-1.39)</f>
        <v>0.400308648442713</v>
      </c>
      <c r="J164" s="1" t="n">
        <f aca="false">ACOS(-TAN(RADIANS(Dashboard!$B$53))*TAN(I164))</f>
        <v>1.69647173124166</v>
      </c>
      <c r="K164" s="1" t="n">
        <f aca="false">(24*60/PI())*0.082*(1+0.033*COS(2*PI()*H164/365))*(J164*SIN(RADIANS(Dashboard!$B$53))*SIN(I164)+COS(RADIANS(Dashboard!$B$53))*COS(I164)*SIN(J164))</f>
        <v>38.763020192853</v>
      </c>
      <c r="L164" s="1" t="n">
        <f aca="false">24/PI()*J164</f>
        <v>12.9600893684532</v>
      </c>
    </row>
    <row r="165" customFormat="false" ht="15" hidden="false" customHeight="true" outlineLevel="0" collapsed="false">
      <c r="A165" s="1" t="str">
        <f aca="false">IF(OR(A164="",A164&gt;=Dashboard!$B$55),"",A164+1)</f>
        <v/>
      </c>
      <c r="B165" s="1" t="str">
        <f aca="false">IF(A165="","",A165-DATE(YEAR(A165),1,0))</f>
        <v/>
      </c>
      <c r="C165" s="1" t="str">
        <f aca="false">IF(A165="","",0.409*SIN(2*PI()*B165/365-1.39))</f>
        <v/>
      </c>
      <c r="D165" s="1" t="str">
        <f aca="false">IF(A165="","",ACOS(-TAN(RADIANS(Dashboard!$B$53))*TAN(C165)))</f>
        <v/>
      </c>
      <c r="E165" s="1" t="str">
        <f aca="false">IF(A165="","",(24*60/PI())*0.082*(1+0.033*COS(2*PI()*B165/365))*(D165*SIN(RADIANS(Dashboard!$B$53))*SIN(C165)+COS(RADIANS(Dashboard!$B$53))*COS(C165)*SIN(D165)))</f>
        <v/>
      </c>
      <c r="F165" s="1" t="str">
        <f aca="false">IF(A165="","",24/PI()*D165)</f>
        <v/>
      </c>
      <c r="H165" s="1" t="n">
        <v>161</v>
      </c>
      <c r="I165" s="1" t="n">
        <f aca="false">0.409*SIN(2*PI()*H165/365-1.39)</f>
        <v>0.40169300298555</v>
      </c>
      <c r="J165" s="1" t="n">
        <f aca="false">ACOS(-TAN(RADIANS(Dashboard!$B$53))*TAN(I165))</f>
        <v>1.69695936717152</v>
      </c>
      <c r="K165" s="1" t="n">
        <f aca="false">(24*60/PI())*0.082*(1+0.033*COS(2*PI()*H165/365))*(J165*SIN(RADIANS(Dashboard!$B$53))*SIN(I165)+COS(RADIANS(Dashboard!$B$53))*COS(I165)*SIN(J165))</f>
        <v>38.758271693377</v>
      </c>
      <c r="L165" s="1" t="n">
        <f aca="false">24/PI()*J165</f>
        <v>12.9638146325492</v>
      </c>
    </row>
    <row r="166" customFormat="false" ht="15" hidden="false" customHeight="true" outlineLevel="0" collapsed="false">
      <c r="A166" s="1" t="str">
        <f aca="false">IF(OR(A165="",A165&gt;=Dashboard!$B$55),"",A165+1)</f>
        <v/>
      </c>
      <c r="B166" s="1" t="str">
        <f aca="false">IF(A166="","",A166-DATE(YEAR(A166),1,0))</f>
        <v/>
      </c>
      <c r="C166" s="1" t="str">
        <f aca="false">IF(A166="","",0.409*SIN(2*PI()*B166/365-1.39))</f>
        <v/>
      </c>
      <c r="D166" s="1" t="str">
        <f aca="false">IF(A166="","",ACOS(-TAN(RADIANS(Dashboard!$B$53))*TAN(C166)))</f>
        <v/>
      </c>
      <c r="E166" s="1" t="str">
        <f aca="false">IF(A166="","",(24*60/PI())*0.082*(1+0.033*COS(2*PI()*B166/365))*(D166*SIN(RADIANS(Dashboard!$B$53))*SIN(C166)+COS(RADIANS(Dashboard!$B$53))*COS(C166)*SIN(D166)))</f>
        <v/>
      </c>
      <c r="F166" s="1" t="str">
        <f aca="false">IF(A166="","",24/PI()*D166)</f>
        <v/>
      </c>
      <c r="H166" s="1" t="n">
        <v>162</v>
      </c>
      <c r="I166" s="1" t="n">
        <f aca="false">0.409*SIN(2*PI()*H166/365-1.39)</f>
        <v>0.402958327222358</v>
      </c>
      <c r="J166" s="1" t="n">
        <f aca="false">ACOS(-TAN(RADIANS(Dashboard!$B$53))*TAN(I166))</f>
        <v>1.6974056032479</v>
      </c>
      <c r="K166" s="1" t="n">
        <f aca="false">(24*60/PI())*0.082*(1+0.033*COS(2*PI()*H166/365))*(J166*SIN(RADIANS(Dashboard!$B$53))*SIN(I166)+COS(RADIANS(Dashboard!$B$53))*COS(I166)*SIN(J166))</f>
        <v>38.7535141674294</v>
      </c>
      <c r="L166" s="1" t="n">
        <f aca="false">24/PI()*J166</f>
        <v>12.9672236250617</v>
      </c>
    </row>
    <row r="167" customFormat="false" ht="15" hidden="false" customHeight="true" outlineLevel="0" collapsed="false">
      <c r="A167" s="1" t="str">
        <f aca="false">IF(OR(A166="",A166&gt;=Dashboard!$B$55),"",A166+1)</f>
        <v/>
      </c>
      <c r="B167" s="1" t="str">
        <f aca="false">IF(A167="","",A167-DATE(YEAR(A167),1,0))</f>
        <v/>
      </c>
      <c r="C167" s="1" t="str">
        <f aca="false">IF(A167="","",0.409*SIN(2*PI()*B167/365-1.39))</f>
        <v/>
      </c>
      <c r="D167" s="1" t="str">
        <f aca="false">IF(A167="","",ACOS(-TAN(RADIANS(Dashboard!$B$53))*TAN(C167)))</f>
        <v/>
      </c>
      <c r="E167" s="1" t="str">
        <f aca="false">IF(A167="","",(24*60/PI())*0.082*(1+0.033*COS(2*PI()*B167/365))*(D167*SIN(RADIANS(Dashboard!$B$53))*SIN(C167)+COS(RADIANS(Dashboard!$B$53))*COS(C167)*SIN(D167)))</f>
        <v/>
      </c>
      <c r="F167" s="1" t="str">
        <f aca="false">IF(A167="","",24/PI()*D167)</f>
        <v/>
      </c>
      <c r="H167" s="1" t="n">
        <v>163</v>
      </c>
      <c r="I167" s="1" t="n">
        <f aca="false">0.409*SIN(2*PI()*H167/365-1.39)</f>
        <v>0.404104246210256</v>
      </c>
      <c r="J167" s="1" t="n">
        <f aca="false">ACOS(-TAN(RADIANS(Dashboard!$B$53))*TAN(I167))</f>
        <v>1.69781016668421</v>
      </c>
      <c r="K167" s="1" t="n">
        <f aca="false">(24*60/PI())*0.082*(1+0.033*COS(2*PI()*H167/365))*(J167*SIN(RADIANS(Dashboard!$B$53))*SIN(I167)+COS(RADIANS(Dashboard!$B$53))*COS(I167)*SIN(J167))</f>
        <v>38.748765092821</v>
      </c>
      <c r="L167" s="1" t="n">
        <f aca="false">24/PI()*J167</f>
        <v>12.9703142620544</v>
      </c>
    </row>
    <row r="168" customFormat="false" ht="15" hidden="false" customHeight="true" outlineLevel="0" collapsed="false">
      <c r="A168" s="1" t="str">
        <f aca="false">IF(OR(A167="",A167&gt;=Dashboard!$B$55),"",A167+1)</f>
        <v/>
      </c>
      <c r="B168" s="1" t="str">
        <f aca="false">IF(A168="","",A168-DATE(YEAR(A168),1,0))</f>
        <v/>
      </c>
      <c r="C168" s="1" t="str">
        <f aca="false">IF(A168="","",0.409*SIN(2*PI()*B168/365-1.39))</f>
        <v/>
      </c>
      <c r="D168" s="1" t="str">
        <f aca="false">IF(A168="","",ACOS(-TAN(RADIANS(Dashboard!$B$53))*TAN(C168)))</f>
        <v/>
      </c>
      <c r="E168" s="1" t="str">
        <f aca="false">IF(A168="","",(24*60/PI())*0.082*(1+0.033*COS(2*PI()*B168/365))*(D168*SIN(RADIANS(Dashboard!$B$53))*SIN(C168)+COS(RADIANS(Dashboard!$B$53))*COS(C168)*SIN(D168)))</f>
        <v/>
      </c>
      <c r="F168" s="1" t="str">
        <f aca="false">IF(A168="","",24/PI()*D168)</f>
        <v/>
      </c>
      <c r="H168" s="1" t="n">
        <v>164</v>
      </c>
      <c r="I168" s="1" t="n">
        <f aca="false">0.409*SIN(2*PI()*H168/365-1.39)</f>
        <v>0.405130420388719</v>
      </c>
      <c r="J168" s="1" t="n">
        <f aca="false">ACOS(-TAN(RADIANS(Dashboard!$B$53))*TAN(I168))</f>
        <v>1.6981728089545</v>
      </c>
      <c r="K168" s="1" t="n">
        <f aca="false">(24*60/PI())*0.082*(1+0.033*COS(2*PI()*H168/365))*(J168*SIN(RADIANS(Dashboard!$B$53))*SIN(I168)+COS(RADIANS(Dashboard!$B$53))*COS(I168)*SIN(J168))</f>
        <v>38.7440404681263</v>
      </c>
      <c r="L168" s="1" t="n">
        <f aca="false">24/PI()*J168</f>
        <v>12.9730846449292</v>
      </c>
    </row>
    <row r="169" customFormat="false" ht="15" hidden="false" customHeight="true" outlineLevel="0" collapsed="false">
      <c r="A169" s="1" t="str">
        <f aca="false">IF(OR(A168="",A168&gt;=Dashboard!$B$55),"",A168+1)</f>
        <v/>
      </c>
      <c r="B169" s="1" t="str">
        <f aca="false">IF(A169="","",A169-DATE(YEAR(A169),1,0))</f>
        <v/>
      </c>
      <c r="C169" s="1" t="str">
        <f aca="false">IF(A169="","",0.409*SIN(2*PI()*B169/365-1.39))</f>
        <v/>
      </c>
      <c r="D169" s="1" t="str">
        <f aca="false">IF(A169="","",ACOS(-TAN(RADIANS(Dashboard!$B$53))*TAN(C169)))</f>
        <v/>
      </c>
      <c r="E169" s="1" t="str">
        <f aca="false">IF(A169="","",(24*60/PI())*0.082*(1+0.033*COS(2*PI()*B169/365))*(D169*SIN(RADIANS(Dashboard!$B$53))*SIN(C169)+COS(RADIANS(Dashboard!$B$53))*COS(C169)*SIN(D169)))</f>
        <v/>
      </c>
      <c r="F169" s="1" t="str">
        <f aca="false">IF(A169="","",24/PI()*D169)</f>
        <v/>
      </c>
      <c r="H169" s="1" t="n">
        <v>165</v>
      </c>
      <c r="I169" s="1" t="n">
        <f aca="false">0.409*SIN(2*PI()*H169/365-1.39)</f>
        <v>0.40603654568019</v>
      </c>
      <c r="J169" s="1" t="n">
        <f aca="false">ACOS(-TAN(RADIANS(Dashboard!$B$53))*TAN(I169))</f>
        <v>1.69849330630009</v>
      </c>
      <c r="K169" s="1" t="n">
        <f aca="false">(24*60/PI())*0.082*(1+0.033*COS(2*PI()*H169/365))*(J169*SIN(RADIANS(Dashboard!$B$53))*SIN(I169)+COS(RADIANS(Dashboard!$B$53))*COS(I169)*SIN(J169))</f>
        <v>38.7393547940019</v>
      </c>
      <c r="L169" s="1" t="n">
        <f aca="false">24/PI()*J169</f>
        <v>12.9755330642955</v>
      </c>
    </row>
    <row r="170" customFormat="false" ht="15" hidden="false" customHeight="true" outlineLevel="0" collapsed="false">
      <c r="A170" s="1" t="str">
        <f aca="false">IF(OR(A169="",A169&gt;=Dashboard!$B$55),"",A169+1)</f>
        <v/>
      </c>
      <c r="B170" s="1" t="str">
        <f aca="false">IF(A170="","",A170-DATE(YEAR(A170),1,0))</f>
        <v/>
      </c>
      <c r="C170" s="1" t="str">
        <f aca="false">IF(A170="","",0.409*SIN(2*PI()*B170/365-1.39))</f>
        <v/>
      </c>
      <c r="D170" s="1" t="str">
        <f aca="false">IF(A170="","",ACOS(-TAN(RADIANS(Dashboard!$B$53))*TAN(C170)))</f>
        <v/>
      </c>
      <c r="E170" s="1" t="str">
        <f aca="false">IF(A170="","",(24*60/PI())*0.082*(1+0.033*COS(2*PI()*B170/365))*(D170*SIN(RADIANS(Dashboard!$B$53))*SIN(C170)+COS(RADIANS(Dashboard!$B$53))*COS(C170)*SIN(D170)))</f>
        <v/>
      </c>
      <c r="F170" s="1" t="str">
        <f aca="false">IF(A170="","",24/PI()*D170)</f>
        <v/>
      </c>
      <c r="H170" s="1" t="n">
        <v>166</v>
      </c>
      <c r="I170" s="1" t="n">
        <f aca="false">0.409*SIN(2*PI()*H170/365-1.39)</f>
        <v>0.406822353580189</v>
      </c>
      <c r="J170" s="1" t="n">
        <f aca="false">ACOS(-TAN(RADIANS(Dashboard!$B$53))*TAN(I170))</f>
        <v>1.69877146018873</v>
      </c>
      <c r="K170" s="1" t="n">
        <f aca="false">(24*60/PI())*0.082*(1+0.033*COS(2*PI()*H170/365))*(J170*SIN(RADIANS(Dashboard!$B$53))*SIN(I170)+COS(RADIANS(Dashboard!$B$53))*COS(I170)*SIN(J170))</f>
        <v>38.7347210565072</v>
      </c>
      <c r="L170" s="1" t="n">
        <f aca="false">24/PI()*J170</f>
        <v>12.9776580034787</v>
      </c>
    </row>
    <row r="171" customFormat="false" ht="15" hidden="false" customHeight="true" outlineLevel="0" collapsed="false">
      <c r="A171" s="1" t="str">
        <f aca="false">IF(OR(A170="",A170&gt;=Dashboard!$B$55),"",A170+1)</f>
        <v/>
      </c>
      <c r="B171" s="1" t="str">
        <f aca="false">IF(A171="","",A171-DATE(YEAR(A171),1,0))</f>
        <v/>
      </c>
      <c r="C171" s="1" t="str">
        <f aca="false">IF(A171="","",0.409*SIN(2*PI()*B171/365-1.39))</f>
        <v/>
      </c>
      <c r="D171" s="1" t="str">
        <f aca="false">IF(A171="","",ACOS(-TAN(RADIANS(Dashboard!$B$53))*TAN(C171)))</f>
        <v/>
      </c>
      <c r="E171" s="1" t="str">
        <f aca="false">IF(A171="","",(24*60/PI())*0.082*(1+0.033*COS(2*PI()*B171/365))*(D171*SIN(RADIANS(Dashboard!$B$53))*SIN(C171)+COS(RADIANS(Dashboard!$B$53))*COS(C171)*SIN(D171)))</f>
        <v/>
      </c>
      <c r="F171" s="1" t="str">
        <f aca="false">IF(A171="","",24/PI()*D171)</f>
        <v/>
      </c>
      <c r="H171" s="1" t="n">
        <v>167</v>
      </c>
      <c r="I171" s="1" t="n">
        <f aca="false">0.409*SIN(2*PI()*H171/365-1.39)</f>
        <v>0.407487611236878</v>
      </c>
      <c r="J171" s="1" t="n">
        <f aca="false">ACOS(-TAN(RADIANS(Dashboard!$B$53))*TAN(I171))</f>
        <v>1.69900709772434</v>
      </c>
      <c r="K171" s="1" t="n">
        <f aca="false">(24*60/PI())*0.082*(1+0.033*COS(2*PI()*H171/365))*(J171*SIN(RADIANS(Dashboard!$B$53))*SIN(I171)+COS(RADIANS(Dashboard!$B$53))*COS(I171)*SIN(J171))</f>
        <v>38.730150712428</v>
      </c>
      <c r="L171" s="1" t="n">
        <f aca="false">24/PI()*J171</f>
        <v>12.9794581416501</v>
      </c>
    </row>
    <row r="172" customFormat="false" ht="15" hidden="false" customHeight="true" outlineLevel="0" collapsed="false">
      <c r="A172" s="1" t="str">
        <f aca="false">IF(OR(A171="",A171&gt;=Dashboard!$B$55),"",A171+1)</f>
        <v/>
      </c>
      <c r="B172" s="1" t="str">
        <f aca="false">IF(A172="","",A172-DATE(YEAR(A172),1,0))</f>
        <v/>
      </c>
      <c r="C172" s="1" t="str">
        <f aca="false">IF(A172="","",0.409*SIN(2*PI()*B172/365-1.39))</f>
        <v/>
      </c>
      <c r="D172" s="1" t="str">
        <f aca="false">IF(A172="","",ACOS(-TAN(RADIANS(Dashboard!$B$53))*TAN(C172)))</f>
        <v/>
      </c>
      <c r="E172" s="1" t="str">
        <f aca="false">IF(A172="","",(24*60/PI())*0.082*(1+0.033*COS(2*PI()*B172/365))*(D172*SIN(RADIANS(Dashboard!$B$53))*SIN(C172)+COS(RADIANS(Dashboard!$B$53))*COS(C172)*SIN(D172)))</f>
        <v/>
      </c>
      <c r="F172" s="1" t="str">
        <f aca="false">IF(A172="","",24/PI()*D172)</f>
        <v/>
      </c>
      <c r="H172" s="1" t="n">
        <v>168</v>
      </c>
      <c r="I172" s="1" t="n">
        <f aca="false">0.409*SIN(2*PI()*H172/365-1.39)</f>
        <v>0.408032121520053</v>
      </c>
      <c r="J172" s="1" t="n">
        <f aca="false">ACOS(-TAN(RADIANS(Dashboard!$B$53))*TAN(I172))</f>
        <v>1.69920007200565</v>
      </c>
      <c r="K172" s="1" t="n">
        <f aca="false">(24*60/PI())*0.082*(1+0.033*COS(2*PI()*H172/365))*(J172*SIN(RADIANS(Dashboard!$B$53))*SIN(I172)+COS(RADIANS(Dashboard!$B$53))*COS(I172)*SIN(J172))</f>
        <v>38.725653676603</v>
      </c>
      <c r="L172" s="1" t="n">
        <f aca="false">24/PI()*J172</f>
        <v>12.9809323565666</v>
      </c>
    </row>
    <row r="173" customFormat="false" ht="15" hidden="false" customHeight="true" outlineLevel="0" collapsed="false">
      <c r="A173" s="1" t="str">
        <f aca="false">IF(OR(A172="",A172&gt;=Dashboard!$B$55),"",A172+1)</f>
        <v/>
      </c>
      <c r="B173" s="1" t="str">
        <f aca="false">IF(A173="","",A173-DATE(YEAR(A173),1,0))</f>
        <v/>
      </c>
      <c r="C173" s="1" t="str">
        <f aca="false">IF(A173="","",0.409*SIN(2*PI()*B173/365-1.39))</f>
        <v/>
      </c>
      <c r="D173" s="1" t="str">
        <f aca="false">IF(A173="","",ACOS(-TAN(RADIANS(Dashboard!$B$53))*TAN(C173)))</f>
        <v/>
      </c>
      <c r="E173" s="1" t="str">
        <f aca="false">IF(A173="","",(24*60/PI())*0.082*(1+0.033*COS(2*PI()*B173/365))*(D173*SIN(RADIANS(Dashboard!$B$53))*SIN(C173)+COS(RADIANS(Dashboard!$B$53))*COS(C173)*SIN(D173)))</f>
        <v/>
      </c>
      <c r="F173" s="1" t="str">
        <f aca="false">IF(A173="","",24/PI()*D173)</f>
        <v/>
      </c>
      <c r="H173" s="1" t="n">
        <v>169</v>
      </c>
      <c r="I173" s="1" t="n">
        <f aca="false">0.409*SIN(2*PI()*H173/365-1.39)</f>
        <v>0.408455723079568</v>
      </c>
      <c r="J173" s="1" t="n">
        <f aca="false">ACOS(-TAN(RADIANS(Dashboard!$B$53))*TAN(I173))</f>
        <v>1.6993502624323</v>
      </c>
      <c r="K173" s="1" t="n">
        <f aca="false">(24*60/PI())*0.082*(1+0.033*COS(2*PI()*H173/365))*(J173*SIN(RADIANS(Dashboard!$B$53))*SIN(I173)+COS(RADIANS(Dashboard!$B$53))*COS(I173)*SIN(J173))</f>
        <v>38.7212383112531</v>
      </c>
      <c r="L173" s="1" t="n">
        <f aca="false">24/PI()*J173</f>
        <v>12.9820797269093</v>
      </c>
    </row>
    <row r="174" customFormat="false" ht="15" hidden="false" customHeight="true" outlineLevel="0" collapsed="false">
      <c r="A174" s="1" t="str">
        <f aca="false">IF(OR(A173="",A173&gt;=Dashboard!$B$55),"",A173+1)</f>
        <v/>
      </c>
      <c r="B174" s="1" t="str">
        <f aca="false">IF(A174="","",A174-DATE(YEAR(A174),1,0))</f>
        <v/>
      </c>
      <c r="C174" s="1" t="str">
        <f aca="false">IF(A174="","",0.409*SIN(2*PI()*B174/365-1.39))</f>
        <v/>
      </c>
      <c r="D174" s="1" t="str">
        <f aca="false">IF(A174="","",ACOS(-TAN(RADIANS(Dashboard!$B$53))*TAN(C174)))</f>
        <v/>
      </c>
      <c r="E174" s="1" t="str">
        <f aca="false">IF(A174="","",(24*60/PI())*0.082*(1+0.033*COS(2*PI()*B174/365))*(D174*SIN(RADIANS(Dashboard!$B$53))*SIN(C174)+COS(RADIANS(Dashboard!$B$53))*COS(C174)*SIN(D174)))</f>
        <v/>
      </c>
      <c r="F174" s="1" t="str">
        <f aca="false">IF(A174="","",24/PI()*D174)</f>
        <v/>
      </c>
      <c r="H174" s="1" t="n">
        <v>170</v>
      </c>
      <c r="I174" s="1" t="n">
        <f aca="false">0.409*SIN(2*PI()*H174/365-1.39)</f>
        <v>0.408758290393138</v>
      </c>
      <c r="J174" s="1" t="n">
        <f aca="false">ACOS(-TAN(RADIANS(Dashboard!$B$53))*TAN(I174))</f>
        <v>1.699457574957</v>
      </c>
      <c r="K174" s="1" t="n">
        <f aca="false">(24*60/PI())*0.082*(1+0.033*COS(2*PI()*H174/365))*(J174*SIN(RADIANS(Dashboard!$B$53))*SIN(I174)+COS(RADIANS(Dashboard!$B$53))*COS(I174)*SIN(J174))</f>
        <v>38.7169114173141</v>
      </c>
      <c r="L174" s="1" t="n">
        <f aca="false">24/PI()*J174</f>
        <v>12.9828995342099</v>
      </c>
    </row>
    <row r="175" customFormat="false" ht="15" hidden="false" customHeight="true" outlineLevel="0" collapsed="false">
      <c r="A175" s="1" t="str">
        <f aca="false">IF(OR(A174="",A174&gt;=Dashboard!$B$55),"",A174+1)</f>
        <v/>
      </c>
      <c r="B175" s="1" t="str">
        <f aca="false">IF(A175="","",A175-DATE(YEAR(A175),1,0))</f>
        <v/>
      </c>
      <c r="C175" s="1" t="str">
        <f aca="false">IF(A175="","",0.409*SIN(2*PI()*B175/365-1.39))</f>
        <v/>
      </c>
      <c r="D175" s="1" t="str">
        <f aca="false">IF(A175="","",ACOS(-TAN(RADIANS(Dashboard!$B$53))*TAN(C175)))</f>
        <v/>
      </c>
      <c r="E175" s="1" t="str">
        <f aca="false">IF(A175="","",(24*60/PI())*0.082*(1+0.033*COS(2*PI()*B175/365))*(D175*SIN(RADIANS(Dashboard!$B$53))*SIN(C175)+COS(RADIANS(Dashboard!$B$53))*COS(C175)*SIN(D175)))</f>
        <v/>
      </c>
      <c r="F175" s="1" t="str">
        <f aca="false">IF(A175="","",24/PI()*D175)</f>
        <v/>
      </c>
      <c r="H175" s="1" t="n">
        <v>171</v>
      </c>
      <c r="I175" s="1" t="n">
        <f aca="false">0.409*SIN(2*PI()*H175/365-1.39)</f>
        <v>0.408939733803539</v>
      </c>
      <c r="J175" s="1" t="n">
        <f aca="false">ACOS(-TAN(RADIANS(Dashboard!$B$53))*TAN(I175))</f>
        <v>1.69952194228273</v>
      </c>
      <c r="K175" s="1" t="n">
        <f aca="false">(24*60/PI())*0.082*(1+0.033*COS(2*PI()*H175/365))*(J175*SIN(RADIANS(Dashboard!$B$53))*SIN(I175)+COS(RADIANS(Dashboard!$B$53))*COS(I175)*SIN(J175))</f>
        <v>38.712678227769</v>
      </c>
      <c r="L175" s="1" t="n">
        <f aca="false">24/PI()*J175</f>
        <v>12.9833912643569</v>
      </c>
    </row>
    <row r="176" customFormat="false" ht="15" hidden="false" customHeight="true" outlineLevel="0" collapsed="false">
      <c r="A176" s="1" t="str">
        <f aca="false">IF(OR(A175="",A175&gt;=Dashboard!$B$55),"",A175+1)</f>
        <v/>
      </c>
      <c r="B176" s="1" t="str">
        <f aca="false">IF(A176="","",A176-DATE(YEAR(A176),1,0))</f>
        <v/>
      </c>
      <c r="C176" s="1" t="str">
        <f aca="false">IF(A176="","",0.409*SIN(2*PI()*B176/365-1.39))</f>
        <v/>
      </c>
      <c r="D176" s="1" t="str">
        <f aca="false">IF(A176="","",ACOS(-TAN(RADIANS(Dashboard!$B$53))*TAN(C176)))</f>
        <v/>
      </c>
      <c r="E176" s="1" t="str">
        <f aca="false">IF(A176="","",(24*60/PI())*0.082*(1+0.033*COS(2*PI()*B176/365))*(D176*SIN(RADIANS(Dashboard!$B$53))*SIN(C176)+COS(RADIANS(Dashboard!$B$53))*COS(C176)*SIN(D176)))</f>
        <v/>
      </c>
      <c r="F176" s="1" t="str">
        <f aca="false">IF(A176="","",24/PI()*D176)</f>
        <v/>
      </c>
      <c r="H176" s="1" t="n">
        <v>172</v>
      </c>
      <c r="I176" s="1" t="n">
        <f aca="false">0.409*SIN(2*PI()*H176/365-1.39)</f>
        <v>0.40899999954517</v>
      </c>
      <c r="J176" s="1" t="n">
        <f aca="false">ACOS(-TAN(RADIANS(Dashboard!$B$53))*TAN(I176))</f>
        <v>1.69954332400419</v>
      </c>
      <c r="K176" s="1" t="n">
        <f aca="false">(24*60/PI())*0.082*(1+0.033*COS(2*PI()*H176/365))*(J176*SIN(RADIANS(Dashboard!$B$53))*SIN(I176)+COS(RADIANS(Dashboard!$B$53))*COS(I176)*SIN(J176))</f>
        <v>38.7085424029801</v>
      </c>
      <c r="L176" s="1" t="n">
        <f aca="false">24/PI()*J176</f>
        <v>12.9835546086767</v>
      </c>
    </row>
    <row r="177" customFormat="false" ht="15" hidden="false" customHeight="true" outlineLevel="0" collapsed="false">
      <c r="A177" s="1" t="str">
        <f aca="false">IF(OR(A176="",A176&gt;=Dashboard!$B$55),"",A176+1)</f>
        <v/>
      </c>
      <c r="B177" s="1" t="str">
        <f aca="false">IF(A177="","",A177-DATE(YEAR(A177),1,0))</f>
        <v/>
      </c>
      <c r="C177" s="1" t="str">
        <f aca="false">IF(A177="","",0.409*SIN(2*PI()*B177/365-1.39))</f>
        <v/>
      </c>
      <c r="D177" s="1" t="str">
        <f aca="false">IF(A177="","",ACOS(-TAN(RADIANS(Dashboard!$B$53))*TAN(C177)))</f>
        <v/>
      </c>
      <c r="E177" s="1" t="str">
        <f aca="false">IF(A177="","",(24*60/PI())*0.082*(1+0.033*COS(2*PI()*B177/365))*(D177*SIN(RADIANS(Dashboard!$B$53))*SIN(C177)+COS(RADIANS(Dashboard!$B$53))*COS(C177)*SIN(D177)))</f>
        <v/>
      </c>
      <c r="F177" s="1" t="str">
        <f aca="false">IF(A177="","",24/PI()*D177)</f>
        <v/>
      </c>
      <c r="H177" s="1" t="n">
        <v>173</v>
      </c>
      <c r="I177" s="1" t="n">
        <f aca="false">0.409*SIN(2*PI()*H177/365-1.39)</f>
        <v>0.408939069759994</v>
      </c>
      <c r="J177" s="1" t="n">
        <f aca="false">ACOS(-TAN(RADIANS(Dashboard!$B$53))*TAN(I177))</f>
        <v>1.69952170669284</v>
      </c>
      <c r="K177" s="1" t="n">
        <f aca="false">(24*60/PI())*0.082*(1+0.033*COS(2*PI()*H177/365))*(J177*SIN(RADIANS(Dashboard!$B$53))*SIN(I177)+COS(RADIANS(Dashboard!$B$53))*COS(I177)*SIN(J177))</f>
        <v>38.7045060280184</v>
      </c>
      <c r="L177" s="1" t="n">
        <f aca="false">24/PI()*J177</f>
        <v>12.9833894645827</v>
      </c>
    </row>
    <row r="178" customFormat="false" ht="15" hidden="false" customHeight="true" outlineLevel="0" collapsed="false">
      <c r="A178" s="1" t="str">
        <f aca="false">IF(OR(A177="",A177&gt;=Dashboard!$B$55),"",A177+1)</f>
        <v/>
      </c>
      <c r="B178" s="1" t="str">
        <f aca="false">IF(A178="","",A178-DATE(YEAR(A178),1,0))</f>
        <v/>
      </c>
      <c r="C178" s="1" t="str">
        <f aca="false">IF(A178="","",0.409*SIN(2*PI()*B178/365-1.39))</f>
        <v/>
      </c>
      <c r="D178" s="1" t="str">
        <f aca="false">IF(A178="","",ACOS(-TAN(RADIANS(Dashboard!$B$53))*TAN(C178)))</f>
        <v/>
      </c>
      <c r="E178" s="1" t="str">
        <f aca="false">IF(A178="","",(24*60/PI())*0.082*(1+0.033*COS(2*PI()*B178/365))*(D178*SIN(RADIANS(Dashboard!$B$53))*SIN(C178)+COS(RADIANS(Dashboard!$B$53))*COS(C178)*SIN(D178)))</f>
        <v/>
      </c>
      <c r="F178" s="1" t="str">
        <f aca="false">IF(A178="","",24/PI()*D178)</f>
        <v/>
      </c>
      <c r="H178" s="1" t="n">
        <v>174</v>
      </c>
      <c r="I178" s="1" t="n">
        <f aca="false">0.409*SIN(2*PI()*H178/365-1.39)</f>
        <v>0.40875696250282</v>
      </c>
      <c r="J178" s="1" t="n">
        <f aca="false">ACOS(-TAN(RADIANS(Dashboard!$B$53))*TAN(I178))</f>
        <v>1.69945710392517</v>
      </c>
      <c r="K178" s="1" t="n">
        <f aca="false">(24*60/PI())*0.082*(1+0.033*COS(2*PI()*H178/365))*(J178*SIN(RADIANS(Dashboard!$B$53))*SIN(I178)+COS(RADIANS(Dashboard!$B$53))*COS(I178)*SIN(J178))</f>
        <v>38.7005696119868</v>
      </c>
      <c r="L178" s="1" t="n">
        <f aca="false">24/PI()*J178</f>
        <v>12.9828959357917</v>
      </c>
    </row>
    <row r="179" customFormat="false" ht="15" hidden="false" customHeight="true" outlineLevel="0" collapsed="false">
      <c r="A179" s="1" t="str">
        <f aca="false">IF(OR(A178="",A178&gt;=Dashboard!$B$55),"",A178+1)</f>
        <v/>
      </c>
      <c r="B179" s="1" t="str">
        <f aca="false">IF(A179="","",A179-DATE(YEAR(A179),1,0))</f>
        <v/>
      </c>
      <c r="C179" s="1" t="str">
        <f aca="false">IF(A179="","",0.409*SIN(2*PI()*B179/365-1.39))</f>
        <v/>
      </c>
      <c r="D179" s="1" t="str">
        <f aca="false">IF(A179="","",ACOS(-TAN(RADIANS(Dashboard!$B$53))*TAN(C179)))</f>
        <v/>
      </c>
      <c r="E179" s="1" t="str">
        <f aca="false">IF(A179="","",(24*60/PI())*0.082*(1+0.033*COS(2*PI()*B179/365))*(D179*SIN(RADIANS(Dashboard!$B$53))*SIN(C179)+COS(RADIANS(Dashboard!$B$53))*COS(C179)*SIN(D179)))</f>
        <v/>
      </c>
      <c r="F179" s="1" t="str">
        <f aca="false">IF(A179="","",24/PI()*D179)</f>
        <v/>
      </c>
      <c r="H179" s="1" t="n">
        <v>175</v>
      </c>
      <c r="I179" s="1" t="n">
        <f aca="false">0.409*SIN(2*PI()*H179/365-1.39)</f>
        <v>0.408453731735959</v>
      </c>
      <c r="J179" s="1" t="n">
        <f aca="false">ACOS(-TAN(RADIANS(Dashboard!$B$53))*TAN(I179))</f>
        <v>1.69934955625409</v>
      </c>
      <c r="K179" s="1" t="n">
        <f aca="false">(24*60/PI())*0.082*(1+0.033*COS(2*PI()*H179/365))*(J179*SIN(RADIANS(Dashboard!$B$53))*SIN(I179)+COS(RADIANS(Dashboard!$B$53))*COS(I179)*SIN(J179))</f>
        <v>38.696732089335</v>
      </c>
      <c r="L179" s="1" t="n">
        <f aca="false">24/PI()*J179</f>
        <v>12.9820743321052</v>
      </c>
    </row>
    <row r="180" customFormat="false" ht="15" hidden="false" customHeight="true" outlineLevel="0" collapsed="false">
      <c r="A180" s="1" t="str">
        <f aca="false">IF(OR(A179="",A179&gt;=Dashboard!$B$55),"",A179+1)</f>
        <v/>
      </c>
      <c r="B180" s="1" t="str">
        <f aca="false">IF(A180="","",A180-DATE(YEAR(A180),1,0))</f>
        <v/>
      </c>
      <c r="C180" s="1" t="str">
        <f aca="false">IF(A180="","",0.409*SIN(2*PI()*B180/365-1.39))</f>
        <v/>
      </c>
      <c r="D180" s="1" t="str">
        <f aca="false">IF(A180="","",ACOS(-TAN(RADIANS(Dashboard!$B$53))*TAN(C180)))</f>
        <v/>
      </c>
      <c r="E180" s="1" t="str">
        <f aca="false">IF(A180="","",(24*60/PI())*0.082*(1+0.033*COS(2*PI()*B180/365))*(D180*SIN(RADIANS(Dashboard!$B$53))*SIN(C180)+COS(RADIANS(Dashboard!$B$53))*COS(C180)*SIN(D180)))</f>
        <v/>
      </c>
      <c r="F180" s="1" t="str">
        <f aca="false">IF(A180="","",24/PI()*D180)</f>
        <v/>
      </c>
      <c r="H180" s="1" t="n">
        <v>176</v>
      </c>
      <c r="I180" s="1" t="n">
        <f aca="false">0.409*SIN(2*PI()*H180/365-1.39)</f>
        <v>0.40802946731323</v>
      </c>
      <c r="J180" s="1" t="n">
        <f aca="false">ACOS(-TAN(RADIANS(Dashboard!$B$53))*TAN(I180))</f>
        <v>1.69919913112364</v>
      </c>
      <c r="K180" s="1" t="n">
        <f aca="false">(24*60/PI())*0.082*(1+0.033*COS(2*PI()*H180/365))*(J180*SIN(RADIANS(Dashboard!$B$53))*SIN(I180)+COS(RADIANS(Dashboard!$B$53))*COS(I180)*SIN(J180))</f>
        <v>38.6929908231634</v>
      </c>
      <c r="L180" s="1" t="n">
        <f aca="false">24/PI()*J180</f>
        <v>12.9809251687575</v>
      </c>
    </row>
    <row r="181" customFormat="false" ht="15" hidden="false" customHeight="true" outlineLevel="0" collapsed="false">
      <c r="A181" s="1" t="str">
        <f aca="false">IF(OR(A180="",A180&gt;=Dashboard!$B$55),"",A180+1)</f>
        <v/>
      </c>
      <c r="B181" s="1" t="str">
        <f aca="false">IF(A181="","",A181-DATE(YEAR(A181),1,0))</f>
        <v/>
      </c>
      <c r="C181" s="1" t="str">
        <f aca="false">IF(A181="","",0.409*SIN(2*PI()*B181/365-1.39))</f>
        <v/>
      </c>
      <c r="D181" s="1" t="str">
        <f aca="false">IF(A181="","",ACOS(-TAN(RADIANS(Dashboard!$B$53))*TAN(C181)))</f>
        <v/>
      </c>
      <c r="E181" s="1" t="str">
        <f aca="false">IF(A181="","",(24*60/PI())*0.082*(1+0.033*COS(2*PI()*B181/365))*(D181*SIN(RADIANS(Dashboard!$B$53))*SIN(C181)+COS(RADIANS(Dashboard!$B$53))*COS(C181)*SIN(D181)))</f>
        <v/>
      </c>
      <c r="F181" s="1" t="str">
        <f aca="false">IF(A181="","",24/PI()*D181)</f>
        <v/>
      </c>
      <c r="H181" s="1" t="n">
        <v>177</v>
      </c>
      <c r="I181" s="1" t="n">
        <f aca="false">0.409*SIN(2*PI()*H181/365-1.39)</f>
        <v>0.40748429495334</v>
      </c>
      <c r="J181" s="1" t="n">
        <f aca="false">ACOS(-TAN(RADIANS(Dashboard!$B$53))*TAN(I181))</f>
        <v>1.69900592272719</v>
      </c>
      <c r="K181" s="1" t="n">
        <f aca="false">(24*60/PI())*0.082*(1+0.033*COS(2*PI()*H181/365))*(J181*SIN(RADIANS(Dashboard!$B$53))*SIN(I181)+COS(RADIANS(Dashboard!$B$53))*COS(I181)*SIN(J181))</f>
        <v>38.689341610511</v>
      </c>
      <c r="L181" s="1" t="n">
        <f aca="false">24/PI()*J181</f>
        <v>12.9794491653331</v>
      </c>
    </row>
    <row r="182" customFormat="false" ht="15" hidden="false" customHeight="true" outlineLevel="0" collapsed="false">
      <c r="A182" s="1" t="str">
        <f aca="false">IF(OR(A181="",A181&gt;=Dashboard!$B$55),"",A181+1)</f>
        <v/>
      </c>
      <c r="B182" s="1" t="str">
        <f aca="false">IF(A182="","",A182-DATE(YEAR(A182),1,0))</f>
        <v/>
      </c>
      <c r="C182" s="1" t="str">
        <f aca="false">IF(A182="","",0.409*SIN(2*PI()*B182/365-1.39))</f>
        <v/>
      </c>
      <c r="D182" s="1" t="str">
        <f aca="false">IF(A182="","",ACOS(-TAN(RADIANS(Dashboard!$B$53))*TAN(C182)))</f>
        <v/>
      </c>
      <c r="E182" s="1" t="str">
        <f aca="false">IF(A182="","",(24*60/PI())*0.082*(1+0.033*COS(2*PI()*B182/365))*(D182*SIN(RADIANS(Dashboard!$B$53))*SIN(C182)+COS(RADIANS(Dashboard!$B$53))*COS(C182)*SIN(D182)))</f>
        <v/>
      </c>
      <c r="F182" s="1" t="str">
        <f aca="false">IF(A182="","",24/PI()*D182)</f>
        <v/>
      </c>
      <c r="H182" s="1" t="n">
        <v>178</v>
      </c>
      <c r="I182" s="1" t="n">
        <f aca="false">0.409*SIN(2*PI()*H182/365-1.39)</f>
        <v>0.406818376202624</v>
      </c>
      <c r="J182" s="1" t="n">
        <f aca="false">ACOS(-TAN(RADIANS(Dashboard!$B$53))*TAN(I182))</f>
        <v>1.69877005180995</v>
      </c>
      <c r="K182" s="1" t="n">
        <f aca="false">(24*60/PI())*0.082*(1+0.033*COS(2*PI()*H182/365))*(J182*SIN(RADIANS(Dashboard!$B$53))*SIN(I182)+COS(RADIANS(Dashboard!$B$53))*COS(I182)*SIN(J182))</f>
        <v>38.6857786896251</v>
      </c>
      <c r="L182" s="1" t="n">
        <f aca="false">24/PI()*J182</f>
        <v>12.9776472442574</v>
      </c>
    </row>
    <row r="183" customFormat="false" ht="15" hidden="false" customHeight="true" outlineLevel="0" collapsed="false">
      <c r="A183" s="1" t="str">
        <f aca="false">IF(OR(A182="",A182&gt;=Dashboard!$B$55),"",A182+1)</f>
        <v/>
      </c>
      <c r="B183" s="1" t="str">
        <f aca="false">IF(A183="","",A183-DATE(YEAR(A183),1,0))</f>
        <v/>
      </c>
      <c r="C183" s="1" t="str">
        <f aca="false">IF(A183="","",0.409*SIN(2*PI()*B183/365-1.39))</f>
        <v/>
      </c>
      <c r="D183" s="1" t="str">
        <f aca="false">IF(A183="","",ACOS(-TAN(RADIANS(Dashboard!$B$53))*TAN(C183)))</f>
        <v/>
      </c>
      <c r="E183" s="1" t="str">
        <f aca="false">IF(A183="","",(24*60/PI())*0.082*(1+0.033*COS(2*PI()*B183/365))*(D183*SIN(RADIANS(Dashboard!$B$53))*SIN(C183)+COS(RADIANS(Dashboard!$B$53))*COS(C183)*SIN(D183)))</f>
        <v/>
      </c>
      <c r="F183" s="1" t="str">
        <f aca="false">IF(A183="","",24/PI()*D183)</f>
        <v/>
      </c>
      <c r="H183" s="1" t="n">
        <v>179</v>
      </c>
      <c r="I183" s="1" t="n">
        <f aca="false">0.409*SIN(2*PI()*H183/365-1.39)</f>
        <v>0.406031908387179</v>
      </c>
      <c r="J183" s="1" t="n">
        <f aca="false">ACOS(-TAN(RADIANS(Dashboard!$B$53))*TAN(I183))</f>
        <v>1.69849166541649</v>
      </c>
      <c r="K183" s="1" t="n">
        <f aca="false">(24*60/PI())*0.082*(1+0.033*COS(2*PI()*H183/365))*(J183*SIN(RADIANS(Dashboard!$B$53))*SIN(I183)+COS(RADIANS(Dashboard!$B$53))*COS(I183)*SIN(J183))</f>
        <v>38.6822947492081</v>
      </c>
      <c r="L183" s="1" t="n">
        <f aca="false">24/PI()*J183</f>
        <v>12.9755205288682</v>
      </c>
    </row>
    <row r="184" customFormat="false" ht="15" hidden="false" customHeight="true" outlineLevel="0" collapsed="false">
      <c r="A184" s="1" t="str">
        <f aca="false">IF(OR(A183="",A183&gt;=Dashboard!$B$55),"",A183+1)</f>
        <v/>
      </c>
      <c r="B184" s="1" t="str">
        <f aca="false">IF(A184="","",A184-DATE(YEAR(A184),1,0))</f>
        <v/>
      </c>
      <c r="C184" s="1" t="str">
        <f aca="false">IF(A184="","",0.409*SIN(2*PI()*B184/365-1.39))</f>
        <v/>
      </c>
      <c r="D184" s="1" t="str">
        <f aca="false">IF(A184="","",ACOS(-TAN(RADIANS(Dashboard!$B$53))*TAN(C184)))</f>
        <v/>
      </c>
      <c r="E184" s="1" t="str">
        <f aca="false">IF(A184="","",(24*60/PI())*0.082*(1+0.033*COS(2*PI()*B184/365))*(D184*SIN(RADIANS(Dashboard!$B$53))*SIN(C184)+COS(RADIANS(Dashboard!$B$53))*COS(C184)*SIN(D184)))</f>
        <v/>
      </c>
      <c r="F184" s="1" t="str">
        <f aca="false">IF(A184="","",24/PI()*D184)</f>
        <v/>
      </c>
      <c r="H184" s="1" t="n">
        <v>180</v>
      </c>
      <c r="I184" s="1" t="n">
        <f aca="false">0.409*SIN(2*PI()*H184/365-1.39)</f>
        <v>0.405125124554392</v>
      </c>
      <c r="J184" s="1" t="n">
        <f aca="false">ACOS(-TAN(RADIANS(Dashboard!$B$53))*TAN(I184))</f>
        <v>1.69817093658439</v>
      </c>
      <c r="K184" s="1" t="n">
        <f aca="false">(24*60/PI())*0.082*(1+0.033*COS(2*PI()*H184/365))*(J184*SIN(RADIANS(Dashboard!$B$53))*SIN(I184)+COS(RADIANS(Dashboard!$B$53))*COS(I184)*SIN(J184))</f>
        <v>38.678880939636</v>
      </c>
      <c r="L184" s="1" t="n">
        <f aca="false">24/PI()*J184</f>
        <v>12.9730703410752</v>
      </c>
    </row>
    <row r="185" customFormat="false" ht="15" hidden="false" customHeight="true" outlineLevel="0" collapsed="false">
      <c r="A185" s="1" t="str">
        <f aca="false">IF(OR(A184="",A184&gt;=Dashboard!$B$55),"",A184+1)</f>
        <v/>
      </c>
      <c r="B185" s="1" t="str">
        <f aca="false">IF(A185="","",A185-DATE(YEAR(A185),1,0))</f>
        <v/>
      </c>
      <c r="C185" s="1" t="str">
        <f aca="false">IF(A185="","",0.409*SIN(2*PI()*B185/365-1.39))</f>
        <v/>
      </c>
      <c r="D185" s="1" t="str">
        <f aca="false">IF(A185="","",ACOS(-TAN(RADIANS(Dashboard!$B$53))*TAN(C185)))</f>
        <v/>
      </c>
      <c r="E185" s="1" t="str">
        <f aca="false">IF(A185="","",(24*60/PI())*0.082*(1+0.033*COS(2*PI()*B185/365))*(D185*SIN(RADIANS(Dashboard!$B$53))*SIN(C185)+COS(RADIANS(Dashboard!$B$53))*COS(C185)*SIN(D185)))</f>
        <v/>
      </c>
      <c r="F185" s="1" t="str">
        <f aca="false">IF(A185="","",24/PI()*D185)</f>
        <v/>
      </c>
      <c r="H185" s="1" t="n">
        <v>181</v>
      </c>
      <c r="I185" s="1" t="n">
        <f aca="false">0.409*SIN(2*PI()*H185/365-1.39)</f>
        <v>0.404098293403884</v>
      </c>
      <c r="J185" s="1" t="n">
        <f aca="false">ACOS(-TAN(RADIANS(Dashboard!$B$53))*TAN(I185))</f>
        <v>1.69780806398529</v>
      </c>
      <c r="K185" s="1" t="n">
        <f aca="false">(24*60/PI())*0.082*(1+0.033*COS(2*PI()*H185/365))*(J185*SIN(RADIANS(Dashboard!$B$53))*SIN(I185)+COS(RADIANS(Dashboard!$B$53))*COS(I185)*SIN(J185))</f>
        <v>38.6755268861449</v>
      </c>
      <c r="L185" s="1" t="n">
        <f aca="false">24/PI()*J185</f>
        <v>12.9702981986179</v>
      </c>
    </row>
    <row r="186" customFormat="false" ht="15" hidden="false" customHeight="true" outlineLevel="0" collapsed="false">
      <c r="A186" s="1" t="str">
        <f aca="false">IF(OR(A185="",A185&gt;=Dashboard!$B$55),"",A185+1)</f>
        <v/>
      </c>
      <c r="B186" s="1" t="str">
        <f aca="false">IF(A186="","",A186-DATE(YEAR(A186),1,0))</f>
        <v/>
      </c>
      <c r="C186" s="1" t="str">
        <f aca="false">IF(A186="","",0.409*SIN(2*PI()*B186/365-1.39))</f>
        <v/>
      </c>
      <c r="D186" s="1" t="str">
        <f aca="false">IF(A186="","",ACOS(-TAN(RADIANS(Dashboard!$B$53))*TAN(C186)))</f>
        <v/>
      </c>
      <c r="E186" s="1" t="str">
        <f aca="false">IF(A186="","",(24*60/PI())*0.082*(1+0.033*COS(2*PI()*B186/365))*(D186*SIN(RADIANS(Dashboard!$B$53))*SIN(C186)+COS(RADIANS(Dashboard!$B$53))*COS(C186)*SIN(D186)))</f>
        <v/>
      </c>
      <c r="F186" s="1" t="str">
        <f aca="false">IF(A186="","",24/PI()*D186)</f>
        <v/>
      </c>
      <c r="H186" s="1" t="n">
        <v>182</v>
      </c>
      <c r="I186" s="1" t="n">
        <f aca="false">0.409*SIN(2*PI()*H186/365-1.39)</f>
        <v>0.402951719207885</v>
      </c>
      <c r="J186" s="1" t="n">
        <f aca="false">ACOS(-TAN(RADIANS(Dashboard!$B$53))*TAN(I186))</f>
        <v>1.69740327151486</v>
      </c>
      <c r="K186" s="1" t="n">
        <f aca="false">(24*60/PI())*0.082*(1+0.033*COS(2*PI()*H186/365))*(J186*SIN(RADIANS(Dashboard!$B$53))*SIN(I186)+COS(RADIANS(Dashboard!$B$53))*COS(I186)*SIN(J186))</f>
        <v>38.6722207039797</v>
      </c>
      <c r="L186" s="1" t="n">
        <f aca="false">24/PI()*J186</f>
        <v>12.9672058119333</v>
      </c>
    </row>
    <row r="187" customFormat="false" ht="15" hidden="false" customHeight="true" outlineLevel="0" collapsed="false">
      <c r="A187" s="1" t="str">
        <f aca="false">IF(OR(A186="",A186&gt;=Dashboard!$B$55),"",A186+1)</f>
        <v/>
      </c>
      <c r="B187" s="1" t="str">
        <f aca="false">IF(A187="","",A187-DATE(YEAR(A187),1,0))</f>
        <v/>
      </c>
      <c r="C187" s="1" t="str">
        <f aca="false">IF(A187="","",0.409*SIN(2*PI()*B187/365-1.39))</f>
        <v/>
      </c>
      <c r="D187" s="1" t="str">
        <f aca="false">IF(A187="","",ACOS(-TAN(RADIANS(Dashboard!$B$53))*TAN(C187)))</f>
        <v/>
      </c>
      <c r="E187" s="1" t="str">
        <f aca="false">IF(A187="","",(24*60/PI())*0.082*(1+0.033*COS(2*PI()*B187/365))*(D187*SIN(RADIANS(Dashboard!$B$53))*SIN(C187)+COS(RADIANS(Dashboard!$B$53))*COS(C187)*SIN(D187)))</f>
        <v/>
      </c>
      <c r="F187" s="1" t="str">
        <f aca="false">IF(A187="","",24/PI()*D187)</f>
        <v/>
      </c>
      <c r="H187" s="1" t="n">
        <v>183</v>
      </c>
      <c r="I187" s="1" t="n">
        <f aca="false">0.409*SIN(2*PI()*H187/365-1.39)</f>
        <v>0.401685741721075</v>
      </c>
      <c r="J187" s="1" t="n">
        <f aca="false">ACOS(-TAN(RADIANS(Dashboard!$B$53))*TAN(I187))</f>
        <v>1.6969568078334</v>
      </c>
      <c r="K187" s="1" t="n">
        <f aca="false">(24*60/PI())*0.082*(1+0.033*COS(2*PI()*H187/365))*(J187*SIN(RADIANS(Dashboard!$B$53))*SIN(I187)+COS(RADIANS(Dashboard!$B$53))*COS(I187)*SIN(J187))</f>
        <v>38.6689490154984</v>
      </c>
      <c r="L187" s="1" t="n">
        <f aca="false">24/PI()*J187</f>
        <v>12.9637950806462</v>
      </c>
    </row>
    <row r="188" customFormat="false" ht="15" hidden="false" customHeight="true" outlineLevel="0" collapsed="false">
      <c r="A188" s="1" t="str">
        <f aca="false">IF(OR(A187="",A187&gt;=Dashboard!$B$55),"",A187+1)</f>
        <v/>
      </c>
      <c r="B188" s="1" t="str">
        <f aca="false">IF(A188="","",A188-DATE(YEAR(A188),1,0))</f>
        <v/>
      </c>
      <c r="C188" s="1" t="str">
        <f aca="false">IF(A188="","",0.409*SIN(2*PI()*B188/365-1.39))</f>
        <v/>
      </c>
      <c r="D188" s="1" t="str">
        <f aca="false">IF(A188="","",ACOS(-TAN(RADIANS(Dashboard!$B$53))*TAN(C188)))</f>
        <v/>
      </c>
      <c r="E188" s="1" t="str">
        <f aca="false">IF(A188="","",(24*60/PI())*0.082*(1+0.033*COS(2*PI()*B188/365))*(D188*SIN(RADIANS(Dashboard!$B$53))*SIN(C188)+COS(RADIANS(Dashboard!$B$53))*COS(C188)*SIN(D188)))</f>
        <v/>
      </c>
      <c r="F188" s="1" t="str">
        <f aca="false">IF(A188="","",24/PI()*D188)</f>
        <v/>
      </c>
      <c r="H188" s="1" t="n">
        <v>184</v>
      </c>
      <c r="I188" s="1" t="n">
        <f aca="false">0.409*SIN(2*PI()*H188/365-1.39)</f>
        <v>0.400300736079904</v>
      </c>
      <c r="J188" s="1" t="n">
        <f aca="false">ACOS(-TAN(RADIANS(Dashboard!$B$53))*TAN(I188))</f>
        <v>1.69646894585896</v>
      </c>
      <c r="K188" s="1" t="n">
        <f aca="false">(24*60/PI())*0.082*(1+0.033*COS(2*PI()*H188/365))*(J188*SIN(RADIANS(Dashboard!$B$53))*SIN(I188)+COS(RADIANS(Dashboard!$B$53))*COS(I188)*SIN(J188))</f>
        <v>38.6656969692259</v>
      </c>
      <c r="L188" s="1" t="n">
        <f aca="false">24/PI()*J188</f>
        <v>12.9600680896969</v>
      </c>
    </row>
    <row r="189" customFormat="false" ht="15" hidden="false" customHeight="true" outlineLevel="0" collapsed="false">
      <c r="A189" s="1" t="str">
        <f aca="false">IF(OR(A188="",A188&gt;=Dashboard!$B$55),"",A188+1)</f>
        <v/>
      </c>
      <c r="B189" s="1" t="str">
        <f aca="false">IF(A189="","",A189-DATE(YEAR(A189),1,0))</f>
        <v/>
      </c>
      <c r="C189" s="1" t="str">
        <f aca="false">IF(A189="","",0.409*SIN(2*PI()*B189/365-1.39))</f>
        <v/>
      </c>
      <c r="D189" s="1" t="str">
        <f aca="false">IF(A189="","",ACOS(-TAN(RADIANS(Dashboard!$B$53))*TAN(C189)))</f>
        <v/>
      </c>
      <c r="E189" s="1" t="str">
        <f aca="false">IF(A189="","",(24*60/PI())*0.082*(1+0.033*COS(2*PI()*B189/365))*(D189*SIN(RADIANS(Dashboard!$B$53))*SIN(C189)+COS(RADIANS(Dashboard!$B$53))*COS(C189)*SIN(D189)))</f>
        <v/>
      </c>
      <c r="F189" s="1" t="str">
        <f aca="false">IF(A189="","",24/PI()*D189)</f>
        <v/>
      </c>
      <c r="H189" s="1" t="n">
        <v>185</v>
      </c>
      <c r="I189" s="1" t="n">
        <f aca="false">0.409*SIN(2*PI()*H189/365-1.39)</f>
        <v>0.398797112691435</v>
      </c>
      <c r="J189" s="1" t="n">
        <f aca="false">ACOS(-TAN(RADIANS(Dashboard!$B$53))*TAN(I189))</f>
        <v>1.69593998221506</v>
      </c>
      <c r="K189" s="1" t="n">
        <f aca="false">(24*60/PI())*0.082*(1+0.033*COS(2*PI()*H189/365))*(J189*SIN(RADIANS(Dashboard!$B$53))*SIN(I189)+COS(RADIANS(Dashboard!$B$53))*COS(I189)*SIN(J189))</f>
        <v>38.6624482608497</v>
      </c>
      <c r="L189" s="1" t="n">
        <f aca="false">24/PI()*J189</f>
        <v>12.9560271051219</v>
      </c>
    </row>
    <row r="190" customFormat="false" ht="15" hidden="false" customHeight="true" outlineLevel="0" collapsed="false">
      <c r="A190" s="1" t="str">
        <f aca="false">IF(OR(A189="",A189&gt;=Dashboard!$B$55),"",A189+1)</f>
        <v/>
      </c>
      <c r="B190" s="1" t="str">
        <f aca="false">IF(A190="","",A190-DATE(YEAR(A190),1,0))</f>
        <v/>
      </c>
      <c r="C190" s="1" t="str">
        <f aca="false">IF(A190="","",0.409*SIN(2*PI()*B190/365-1.39))</f>
        <v/>
      </c>
      <c r="D190" s="1" t="str">
        <f aca="false">IF(A190="","",ACOS(-TAN(RADIANS(Dashboard!$B$53))*TAN(C190)))</f>
        <v/>
      </c>
      <c r="E190" s="1" t="str">
        <f aca="false">IF(A190="","",(24*60/PI())*0.082*(1+0.033*COS(2*PI()*B190/365))*(D190*SIN(RADIANS(Dashboard!$B$53))*SIN(C190)+COS(RADIANS(Dashboard!$B$53))*COS(C190)*SIN(D190)))</f>
        <v/>
      </c>
      <c r="F190" s="1" t="str">
        <f aca="false">IF(A190="","",24/PI()*D190)</f>
        <v/>
      </c>
      <c r="H190" s="1" t="n">
        <v>186</v>
      </c>
      <c r="I190" s="1" t="n">
        <f aca="false">0.409*SIN(2*PI()*H190/365-1.39)</f>
        <v>0.397175317111729</v>
      </c>
      <c r="J190" s="1" t="n">
        <f aca="false">ACOS(-TAN(RADIANS(Dashboard!$B$53))*TAN(I190))</f>
        <v>1.69537023663523</v>
      </c>
      <c r="K190" s="1" t="n">
        <f aca="false">(24*60/PI())*0.082*(1+0.033*COS(2*PI()*H190/365))*(J190*SIN(RADIANS(Dashboard!$B$53))*SIN(I190)+COS(RADIANS(Dashboard!$B$53))*COS(I190)*SIN(J190))</f>
        <v>38.6591851561492</v>
      </c>
      <c r="L190" s="1" t="n">
        <f aca="false">24/PI()*J190</f>
        <v>12.9516745695059</v>
      </c>
    </row>
    <row r="191" customFormat="false" ht="15" hidden="false" customHeight="true" outlineLevel="0" collapsed="false">
      <c r="A191" s="1" t="str">
        <f aca="false">IF(OR(A190="",A190&gt;=Dashboard!$B$55),"",A190+1)</f>
        <v/>
      </c>
      <c r="B191" s="1" t="str">
        <f aca="false">IF(A191="","",A191-DATE(YEAR(A191),1,0))</f>
        <v/>
      </c>
      <c r="C191" s="1" t="str">
        <f aca="false">IF(A191="","",0.409*SIN(2*PI()*B191/365-1.39))</f>
        <v/>
      </c>
      <c r="D191" s="1" t="str">
        <f aca="false">IF(A191="","",ACOS(-TAN(RADIANS(Dashboard!$B$53))*TAN(C191)))</f>
        <v/>
      </c>
      <c r="E191" s="1" t="str">
        <f aca="false">IF(A191="","",(24*60/PI())*0.082*(1+0.033*COS(2*PI()*B191/365))*(D191*SIN(RADIANS(Dashboard!$B$53))*SIN(C191)+COS(RADIANS(Dashboard!$B$53))*COS(C191)*SIN(D191)))</f>
        <v/>
      </c>
      <c r="F191" s="1" t="str">
        <f aca="false">IF(A191="","",24/PI()*D191)</f>
        <v/>
      </c>
      <c r="H191" s="1" t="n">
        <v>187</v>
      </c>
      <c r="I191" s="1" t="n">
        <f aca="false">0.409*SIN(2*PI()*H191/365-1.39)</f>
        <v>0.395435829913818</v>
      </c>
      <c r="J191" s="1" t="n">
        <f aca="false">ACOS(-TAN(RADIANS(Dashboard!$B$53))*TAN(I191))</f>
        <v>1.69476005132694</v>
      </c>
      <c r="K191" s="1" t="n">
        <f aca="false">(24*60/PI())*0.082*(1+0.033*COS(2*PI()*H191/365))*(J191*SIN(RADIANS(Dashboard!$B$53))*SIN(I191)+COS(RADIANS(Dashboard!$B$53))*COS(I191)*SIN(J191))</f>
        <v>38.6558885158497</v>
      </c>
      <c r="L191" s="1" t="n">
        <f aca="false">24/PI()*J191</f>
        <v>12.9470130971212</v>
      </c>
    </row>
    <row r="192" customFormat="false" ht="15" hidden="false" customHeight="true" outlineLevel="0" collapsed="false">
      <c r="A192" s="1" t="str">
        <f aca="false">IF(OR(A191="",A191&gt;=Dashboard!$B$55),"",A191+1)</f>
        <v/>
      </c>
      <c r="B192" s="1" t="str">
        <f aca="false">IF(A192="","",A192-DATE(YEAR(A192),1,0))</f>
        <v/>
      </c>
      <c r="C192" s="1" t="str">
        <f aca="false">IF(A192="","",0.409*SIN(2*PI()*B192/365-1.39))</f>
        <v/>
      </c>
      <c r="D192" s="1" t="str">
        <f aca="false">IF(A192="","",ACOS(-TAN(RADIANS(Dashboard!$B$53))*TAN(C192)))</f>
        <v/>
      </c>
      <c r="E192" s="1" t="str">
        <f aca="false">IF(A192="","",(24*60/PI())*0.082*(1+0.033*COS(2*PI()*B192/365))*(D192*SIN(RADIANS(Dashboard!$B$53))*SIN(C192)+COS(RADIANS(Dashboard!$B$53))*COS(C192)*SIN(D192)))</f>
        <v/>
      </c>
      <c r="F192" s="1" t="str">
        <f aca="false">IF(A192="","",24/PI()*D192)</f>
        <v/>
      </c>
      <c r="H192" s="1" t="n">
        <v>188</v>
      </c>
      <c r="I192" s="1" t="n">
        <f aca="false">0.409*SIN(2*PI()*H192/365-1.39)</f>
        <v>0.393579166545299</v>
      </c>
      <c r="J192" s="1" t="n">
        <f aca="false">ACOS(-TAN(RADIANS(Dashboard!$B$53))*TAN(I192))</f>
        <v>1.69410979029714</v>
      </c>
      <c r="K192" s="1" t="n">
        <f aca="false">(24*60/PI())*0.082*(1+0.033*COS(2*PI()*H192/365))*(J192*SIN(RADIANS(Dashboard!$B$53))*SIN(I192)+COS(RADIANS(Dashboard!$B$53))*COS(I192)*SIN(J192))</f>
        <v>38.6525378223898</v>
      </c>
      <c r="L192" s="1" t="n">
        <f aca="false">24/PI()*J192</f>
        <v>12.9420454687759</v>
      </c>
    </row>
    <row r="193" customFormat="false" ht="15" hidden="false" customHeight="true" outlineLevel="0" collapsed="false">
      <c r="A193" s="1" t="str">
        <f aca="false">IF(OR(A192="",A192&gt;=Dashboard!$B$55),"",A192+1)</f>
        <v/>
      </c>
      <c r="B193" s="1" t="str">
        <f aca="false">IF(A193="","",A193-DATE(YEAR(A193),1,0))</f>
        <v/>
      </c>
      <c r="C193" s="1" t="str">
        <f aca="false">IF(A193="","",0.409*SIN(2*PI()*B193/365-1.39))</f>
        <v/>
      </c>
      <c r="D193" s="1" t="str">
        <f aca="false">IF(A193="","",ACOS(-TAN(RADIANS(Dashboard!$B$53))*TAN(C193)))</f>
        <v/>
      </c>
      <c r="E193" s="1" t="str">
        <f aca="false">IF(A193="","",(24*60/PI())*0.082*(1+0.033*COS(2*PI()*B193/365))*(D193*SIN(RADIANS(Dashboard!$B$53))*SIN(C193)+COS(RADIANS(Dashboard!$B$53))*COS(C193)*SIN(D193)))</f>
        <v/>
      </c>
      <c r="F193" s="1" t="str">
        <f aca="false">IF(A193="","",24/PI()*D193)</f>
        <v/>
      </c>
      <c r="H193" s="1" t="n">
        <v>189</v>
      </c>
      <c r="I193" s="1" t="n">
        <f aca="false">0.409*SIN(2*PI()*H193/365-1.39)</f>
        <v>0.391605877175598</v>
      </c>
      <c r="J193" s="1" t="n">
        <f aca="false">ACOS(-TAN(RADIANS(Dashboard!$B$53))*TAN(I193))</f>
        <v>1.69341983864241</v>
      </c>
      <c r="K193" s="1" t="n">
        <f aca="false">(24*60/PI())*0.082*(1+0.033*COS(2*PI()*H193/365))*(J193*SIN(RADIANS(Dashboard!$B$53))*SIN(I193)+COS(RADIANS(Dashboard!$B$53))*COS(I193)*SIN(J193))</f>
        <v>38.6491112085929</v>
      </c>
      <c r="L193" s="1" t="n">
        <f aca="false">24/PI()*J193</f>
        <v>12.9367746263913</v>
      </c>
    </row>
    <row r="194" customFormat="false" ht="15" hidden="false" customHeight="true" outlineLevel="0" collapsed="false">
      <c r="A194" s="1" t="str">
        <f aca="false">IF(OR(A193="",A193&gt;=Dashboard!$B$55),"",A193+1)</f>
        <v/>
      </c>
      <c r="B194" s="1" t="str">
        <f aca="false">IF(A194="","",A194-DATE(YEAR(A194),1,0))</f>
        <v/>
      </c>
      <c r="C194" s="1" t="str">
        <f aca="false">IF(A194="","",0.409*SIN(2*PI()*B194/365-1.39))</f>
        <v/>
      </c>
      <c r="D194" s="1" t="str">
        <f aca="false">IF(A194="","",ACOS(-TAN(RADIANS(Dashboard!$B$53))*TAN(C194)))</f>
        <v/>
      </c>
      <c r="E194" s="1" t="str">
        <f aca="false">IF(A194="","",(24*60/PI())*0.082*(1+0.033*COS(2*PI()*B194/365))*(D194*SIN(RADIANS(Dashboard!$B$53))*SIN(C194)+COS(RADIANS(Dashboard!$B$53))*COS(C194)*SIN(D194)))</f>
        <v/>
      </c>
      <c r="F194" s="1" t="str">
        <f aca="false">IF(A194="","",24/PI()*D194)</f>
        <v/>
      </c>
      <c r="H194" s="1" t="n">
        <v>190</v>
      </c>
      <c r="I194" s="1" t="n">
        <f aca="false">0.409*SIN(2*PI()*H194/365-1.39)</f>
        <v>0.389516546532943</v>
      </c>
      <c r="J194" s="1" t="n">
        <f aca="false">ACOS(-TAN(RADIANS(Dashboard!$B$53))*TAN(I194))</f>
        <v>1.69269060180626</v>
      </c>
      <c r="K194" s="1" t="n">
        <f aca="false">(24*60/PI())*0.082*(1+0.033*COS(2*PI()*H194/365))*(J194*SIN(RADIANS(Dashboard!$B$53))*SIN(I194)+COS(RADIANS(Dashboard!$B$53))*COS(I194)*SIN(J194))</f>
        <v>38.6455854882267</v>
      </c>
      <c r="L194" s="1" t="n">
        <f aca="false">24/PI()*J194</f>
        <v>12.9312036673277</v>
      </c>
    </row>
    <row r="195" customFormat="false" ht="15" hidden="false" customHeight="true" outlineLevel="0" collapsed="false">
      <c r="A195" s="1" t="str">
        <f aca="false">IF(OR(A194="",A194&gt;=Dashboard!$B$55),"",A194+1)</f>
        <v/>
      </c>
      <c r="B195" s="1" t="str">
        <f aca="false">IF(A195="","",A195-DATE(YEAR(A195),1,0))</f>
        <v/>
      </c>
      <c r="C195" s="1" t="str">
        <f aca="false">IF(A195="","",0.409*SIN(2*PI()*B195/365-1.39))</f>
        <v/>
      </c>
      <c r="D195" s="1" t="str">
        <f aca="false">IF(A195="","",ACOS(-TAN(RADIANS(Dashboard!$B$53))*TAN(C195)))</f>
        <v/>
      </c>
      <c r="E195" s="1" t="str">
        <f aca="false">IF(A195="","",(24*60/PI())*0.082*(1+0.033*COS(2*PI()*B195/365))*(D195*SIN(RADIANS(Dashboard!$B$53))*SIN(C195)+COS(RADIANS(Dashboard!$B$53))*COS(C195)*SIN(D195)))</f>
        <v/>
      </c>
      <c r="F195" s="1" t="str">
        <f aca="false">IF(A195="","",24/PI()*D195)</f>
        <v/>
      </c>
      <c r="H195" s="1" t="n">
        <v>191</v>
      </c>
      <c r="I195" s="1" t="n">
        <f aca="false">0.409*SIN(2*PI()*H195/365-1.39)</f>
        <v>0.387311793731095</v>
      </c>
      <c r="J195" s="1" t="n">
        <f aca="false">ACOS(-TAN(RADIANS(Dashboard!$B$53))*TAN(I195))</f>
        <v>1.69192250480657</v>
      </c>
      <c r="K195" s="1" t="n">
        <f aca="false">(24*60/PI())*0.082*(1+0.033*COS(2*PI()*H195/365))*(J195*SIN(RADIANS(Dashboard!$B$53))*SIN(I195)+COS(RADIANS(Dashboard!$B$53))*COS(I195)*SIN(J195))</f>
        <v>38.6419361884402</v>
      </c>
      <c r="L195" s="1" t="n">
        <f aca="false">24/PI()*J195</f>
        <v>12.9253358384826</v>
      </c>
    </row>
    <row r="196" customFormat="false" ht="15" hidden="false" customHeight="true" outlineLevel="0" collapsed="false">
      <c r="A196" s="1" t="str">
        <f aca="false">IF(OR(A195="",A195&gt;=Dashboard!$B$55),"",A195+1)</f>
        <v/>
      </c>
      <c r="B196" s="1" t="str">
        <f aca="false">IF(A196="","",A196-DATE(YEAR(A196),1,0))</f>
        <v/>
      </c>
      <c r="C196" s="1" t="str">
        <f aca="false">IF(A196="","",0.409*SIN(2*PI()*B196/365-1.39))</f>
        <v/>
      </c>
      <c r="D196" s="1" t="str">
        <f aca="false">IF(A196="","",ACOS(-TAN(RADIANS(Dashboard!$B$53))*TAN(C196)))</f>
        <v/>
      </c>
      <c r="E196" s="1" t="str">
        <f aca="false">IF(A196="","",(24*60/PI())*0.082*(1+0.033*COS(2*PI()*B196/365))*(D196*SIN(RADIANS(Dashboard!$B$53))*SIN(C196)+COS(RADIANS(Dashboard!$B$53))*COS(C196)*SIN(D196)))</f>
        <v/>
      </c>
      <c r="F196" s="1" t="str">
        <f aca="false">IF(A196="","",24/PI()*D196)</f>
        <v/>
      </c>
      <c r="H196" s="1" t="n">
        <v>192</v>
      </c>
      <c r="I196" s="1" t="n">
        <f aca="false">0.409*SIN(2*PI()*H196/365-1.39)</f>
        <v>0.384992272085892</v>
      </c>
      <c r="J196" s="1" t="n">
        <f aca="false">ACOS(-TAN(RADIANS(Dashboard!$B$53))*TAN(I196))</f>
        <v>1.69111599143602</v>
      </c>
      <c r="K196" s="1" t="n">
        <f aca="false">(24*60/PI())*0.082*(1+0.033*COS(2*PI()*H196/365))*(J196*SIN(RADIANS(Dashboard!$B$53))*SIN(I196)+COS(RADIANS(Dashboard!$B$53))*COS(I196)*SIN(J196))</f>
        <v>38.6381375840588</v>
      </c>
      <c r="L196" s="1" t="n">
        <f aca="false">24/PI()*J196</f>
        <v>12.9191745301821</v>
      </c>
    </row>
    <row r="197" customFormat="false" ht="15" hidden="false" customHeight="true" outlineLevel="0" collapsed="false">
      <c r="A197" s="1" t="str">
        <f aca="false">IF(OR(A196="",A196&gt;=Dashboard!$B$55),"",A196+1)</f>
        <v/>
      </c>
      <c r="B197" s="1" t="str">
        <f aca="false">IF(A197="","",A197-DATE(YEAR(A197),1,0))</f>
        <v/>
      </c>
      <c r="C197" s="1" t="str">
        <f aca="false">IF(A197="","",0.409*SIN(2*PI()*B197/365-1.39))</f>
        <v/>
      </c>
      <c r="D197" s="1" t="str">
        <f aca="false">IF(A197="","",ACOS(-TAN(RADIANS(Dashboard!$B$53))*TAN(C197)))</f>
        <v/>
      </c>
      <c r="E197" s="1" t="str">
        <f aca="false">IF(A197="","",(24*60/PI())*0.082*(1+0.033*COS(2*PI()*B197/365))*(D197*SIN(RADIANS(Dashboard!$B$53))*SIN(C197)+COS(RADIANS(Dashboard!$B$53))*COS(C197)*SIN(D197)))</f>
        <v/>
      </c>
      <c r="F197" s="1" t="str">
        <f aca="false">IF(A197="","",24/PI()*D197)</f>
        <v/>
      </c>
      <c r="H197" s="1" t="n">
        <v>193</v>
      </c>
      <c r="I197" s="1" t="n">
        <f aca="false">0.409*SIN(2*PI()*H197/365-1.39)</f>
        <v>0.382558668921655</v>
      </c>
      <c r="J197" s="1" t="n">
        <f aca="false">ACOS(-TAN(RADIANS(Dashboard!$B$53))*TAN(I197))</f>
        <v>1.69027152343853</v>
      </c>
      <c r="K197" s="1" t="n">
        <f aca="false">(24*60/PI())*0.082*(1+0.033*COS(2*PI()*H197/365))*(J197*SIN(RADIANS(Dashboard!$B$53))*SIN(I197)+COS(RADIANS(Dashboard!$B$53))*COS(I197)*SIN(J197))</f>
        <v>38.6341627337228</v>
      </c>
      <c r="L197" s="1" t="n">
        <f aca="false">24/PI()*J197</f>
        <v>12.9127232698901</v>
      </c>
    </row>
    <row r="198" customFormat="false" ht="15" hidden="false" customHeight="true" outlineLevel="0" collapsed="false">
      <c r="A198" s="1" t="str">
        <f aca="false">IF(OR(A197="",A197&gt;=Dashboard!$B$55),"",A197+1)</f>
        <v/>
      </c>
      <c r="B198" s="1" t="str">
        <f aca="false">IF(A198="","",A198-DATE(YEAR(A198),1,0))</f>
        <v/>
      </c>
      <c r="C198" s="1" t="str">
        <f aca="false">IF(A198="","",0.409*SIN(2*PI()*B198/365-1.39))</f>
        <v/>
      </c>
      <c r="D198" s="1" t="str">
        <f aca="false">IF(A198="","",ACOS(-TAN(RADIANS(Dashboard!$B$53))*TAN(C198)))</f>
        <v/>
      </c>
      <c r="E198" s="1" t="str">
        <f aca="false">IF(A198="","",(24*60/PI())*0.082*(1+0.033*COS(2*PI()*B198/365))*(D198*SIN(RADIANS(Dashboard!$B$53))*SIN(C198)+COS(RADIANS(Dashboard!$B$53))*COS(C198)*SIN(D198)))</f>
        <v/>
      </c>
      <c r="F198" s="1" t="str">
        <f aca="false">IF(A198="","",24/PI()*D198)</f>
        <v/>
      </c>
      <c r="H198" s="1" t="n">
        <v>194</v>
      </c>
      <c r="I198" s="1" t="n">
        <f aca="false">0.409*SIN(2*PI()*H198/365-1.39)</f>
        <v>0.380011705367525</v>
      </c>
      <c r="J198" s="1" t="n">
        <f aca="false">ACOS(-TAN(RADIANS(Dashboard!$B$53))*TAN(I198))</f>
        <v>1.68938957966476</v>
      </c>
      <c r="K198" s="1" t="n">
        <f aca="false">(24*60/PI())*0.082*(1+0.033*COS(2*PI()*H198/365))*(J198*SIN(RADIANS(Dashboard!$B$53))*SIN(I198)+COS(RADIANS(Dashboard!$B$53))*COS(I198)*SIN(J198))</f>
        <v>38.6299835178479</v>
      </c>
      <c r="L198" s="1" t="n">
        <f aca="false">24/PI()*J198</f>
        <v>12.9059857157562</v>
      </c>
    </row>
    <row r="199" customFormat="false" ht="15" hidden="false" customHeight="true" outlineLevel="0" collapsed="false">
      <c r="A199" s="1" t="str">
        <f aca="false">IF(OR(A198="",A198&gt;=Dashboard!$B$55),"",A198+1)</f>
        <v/>
      </c>
      <c r="B199" s="1" t="str">
        <f aca="false">IF(A199="","",A199-DATE(YEAR(A199),1,0))</f>
        <v/>
      </c>
      <c r="C199" s="1" t="str">
        <f aca="false">IF(A199="","",0.409*SIN(2*PI()*B199/365-1.39))</f>
        <v/>
      </c>
      <c r="D199" s="1" t="str">
        <f aca="false">IF(A199="","",ACOS(-TAN(RADIANS(Dashboard!$B$53))*TAN(C199)))</f>
        <v/>
      </c>
      <c r="E199" s="1" t="str">
        <f aca="false">IF(A199="","",(24*60/PI())*0.082*(1+0.033*COS(2*PI()*B199/365))*(D199*SIN(RADIANS(Dashboard!$B$53))*SIN(C199)+COS(RADIANS(Dashboard!$B$53))*COS(C199)*SIN(D199)))</f>
        <v/>
      </c>
      <c r="F199" s="1" t="str">
        <f aca="false">IF(A199="","",24/PI()*D199)</f>
        <v/>
      </c>
      <c r="H199" s="1" t="n">
        <v>195</v>
      </c>
      <c r="I199" s="1" t="n">
        <f aca="false">0.409*SIN(2*PI()*H199/365-1.39)</f>
        <v>0.37735213614377</v>
      </c>
      <c r="J199" s="1" t="n">
        <f aca="false">ACOS(-TAN(RADIANS(Dashboard!$B$53))*TAN(I199))</f>
        <v>1.6884706552097</v>
      </c>
      <c r="K199" s="1" t="n">
        <f aca="false">(24*60/PI())*0.082*(1+0.033*COS(2*PI()*H199/365))*(J199*SIN(RADIANS(Dashboard!$B$53))*SIN(I199)+COS(RADIANS(Dashboard!$B$53))*COS(I199)*SIN(J199))</f>
        <v>38.6255706783875</v>
      </c>
      <c r="L199" s="1" t="n">
        <f aca="false">24/PI()*J199</f>
        <v>12.8989656500273</v>
      </c>
    </row>
    <row r="200" customFormat="false" ht="15" hidden="false" customHeight="true" outlineLevel="0" collapsed="false">
      <c r="A200" s="1" t="str">
        <f aca="false">IF(OR(A199="",A199&gt;=Dashboard!$B$55),"",A199+1)</f>
        <v/>
      </c>
      <c r="B200" s="1" t="str">
        <f aca="false">IF(A200="","",A200-DATE(YEAR(A200),1,0))</f>
        <v/>
      </c>
      <c r="C200" s="1" t="str">
        <f aca="false">IF(A200="","",0.409*SIN(2*PI()*B200/365-1.39))</f>
        <v/>
      </c>
      <c r="D200" s="1" t="str">
        <f aca="false">IF(A200="","",ACOS(-TAN(RADIANS(Dashboard!$B$53))*TAN(C200)))</f>
        <v/>
      </c>
      <c r="E200" s="1" t="str">
        <f aca="false">IF(A200="","",(24*60/PI())*0.082*(1+0.033*COS(2*PI()*B200/365))*(D200*SIN(RADIANS(Dashboard!$B$53))*SIN(C200)+COS(RADIANS(Dashboard!$B$53))*COS(C200)*SIN(D200)))</f>
        <v/>
      </c>
      <c r="F200" s="1" t="str">
        <f aca="false">IF(A200="","",24/PI()*D200)</f>
        <v/>
      </c>
      <c r="H200" s="1" t="n">
        <v>196</v>
      </c>
      <c r="I200" s="1" t="n">
        <f aca="false">0.409*SIN(2*PI()*H200/365-1.39)</f>
        <v>0.37458074933815</v>
      </c>
      <c r="J200" s="1" t="n">
        <f aca="false">ACOS(-TAN(RADIANS(Dashboard!$B$53))*TAN(I200))</f>
        <v>1.68751526053536</v>
      </c>
      <c r="K200" s="1" t="n">
        <f aca="false">(24*60/PI())*0.082*(1+0.033*COS(2*PI()*H200/365))*(J200*SIN(RADIANS(Dashboard!$B$53))*SIN(I200)+COS(RADIANS(Dashboard!$B$53))*COS(I200)*SIN(J200))</f>
        <v>38.6208938603722</v>
      </c>
      <c r="L200" s="1" t="n">
        <f aca="false">24/PI()*J200</f>
        <v>12.8916669723461</v>
      </c>
    </row>
    <row r="201" customFormat="false" ht="15" hidden="false" customHeight="true" outlineLevel="0" collapsed="false">
      <c r="A201" s="1" t="str">
        <f aca="false">IF(OR(A200="",A200&gt;=Dashboard!$B$55),"",A200+1)</f>
        <v/>
      </c>
      <c r="B201" s="1" t="str">
        <f aca="false">IF(A201="","",A201-DATE(YEAR(A201),1,0))</f>
        <v/>
      </c>
      <c r="C201" s="1" t="str">
        <f aca="false">IF(A201="","",0.409*SIN(2*PI()*B201/365-1.39))</f>
        <v/>
      </c>
      <c r="D201" s="1" t="str">
        <f aca="false">IF(A201="","",ACOS(-TAN(RADIANS(Dashboard!$B$53))*TAN(C201)))</f>
        <v/>
      </c>
      <c r="E201" s="1" t="str">
        <f aca="false">IF(A201="","",(24*60/PI())*0.082*(1+0.033*COS(2*PI()*B201/365))*(D201*SIN(RADIANS(Dashboard!$B$53))*SIN(C201)+COS(RADIANS(Dashboard!$B$53))*COS(C201)*SIN(D201)))</f>
        <v/>
      </c>
      <c r="F201" s="1" t="str">
        <f aca="false">IF(A201="","",24/PI()*D201)</f>
        <v/>
      </c>
      <c r="H201" s="1" t="n">
        <v>197</v>
      </c>
      <c r="I201" s="1" t="n">
        <f aca="false">0.409*SIN(2*PI()*H201/365-1.39)</f>
        <v>0.371698366172386</v>
      </c>
      <c r="J201" s="1" t="n">
        <f aca="false">ACOS(-TAN(RADIANS(Dashboard!$B$53))*TAN(I201))</f>
        <v>1.68652392058174</v>
      </c>
      <c r="K201" s="1" t="n">
        <f aca="false">(24*60/PI())*0.082*(1+0.033*COS(2*PI()*H201/365))*(J201*SIN(RADIANS(Dashboard!$B$53))*SIN(I201)+COS(RADIANS(Dashboard!$B$53))*COS(I201)*SIN(J201))</f>
        <v>38.6159216552015</v>
      </c>
      <c r="L201" s="1" t="n">
        <f aca="false">24/PI()*J201</f>
        <v>12.8840936929587</v>
      </c>
    </row>
    <row r="202" customFormat="false" ht="15" hidden="false" customHeight="true" outlineLevel="0" collapsed="false">
      <c r="A202" s="1" t="str">
        <f aca="false">IF(OR(A201="",A201&gt;=Dashboard!$B$55),"",A201+1)</f>
        <v/>
      </c>
      <c r="B202" s="1" t="str">
        <f aca="false">IF(A202="","",A202-DATE(YEAR(A202),1,0))</f>
        <v/>
      </c>
      <c r="C202" s="1" t="str">
        <f aca="false">IF(A202="","",0.409*SIN(2*PI()*B202/365-1.39))</f>
        <v/>
      </c>
      <c r="D202" s="1" t="str">
        <f aca="false">IF(A202="","",ACOS(-TAN(RADIANS(Dashboard!$B$53))*TAN(C202)))</f>
        <v/>
      </c>
      <c r="E202" s="1" t="str">
        <f aca="false">IF(A202="","",(24*60/PI())*0.082*(1+0.033*COS(2*PI()*B202/365))*(D202*SIN(RADIANS(Dashboard!$B$53))*SIN(C202)+COS(RADIANS(Dashboard!$B$53))*COS(C202)*SIN(D202)))</f>
        <v/>
      </c>
      <c r="F202" s="1" t="str">
        <f aca="false">IF(A202="","",24/PI()*D202)</f>
        <v/>
      </c>
      <c r="H202" s="1" t="n">
        <v>198</v>
      </c>
      <c r="I202" s="1" t="n">
        <f aca="false">0.409*SIN(2*PI()*H202/365-1.39)</f>
        <v>0.368705840758817</v>
      </c>
      <c r="J202" s="1" t="n">
        <f aca="false">ACOS(-TAN(RADIANS(Dashboard!$B$53))*TAN(I202))</f>
        <v>1.68549717386892</v>
      </c>
      <c r="K202" s="1" t="n">
        <f aca="false">(24*60/PI())*0.082*(1+0.033*COS(2*PI()*H202/365))*(J202*SIN(RADIANS(Dashboard!$B$53))*SIN(I202)+COS(RADIANS(Dashboard!$B$53))*COS(I202)*SIN(J202))</f>
        <v>38.6106216456593</v>
      </c>
      <c r="L202" s="1" t="n">
        <f aca="false">24/PI()*J202</f>
        <v>12.8762499258556</v>
      </c>
    </row>
    <row r="203" customFormat="false" ht="15" hidden="false" customHeight="true" outlineLevel="0" collapsed="false">
      <c r="A203" s="1" t="str">
        <f aca="false">IF(OR(A202="",A202&gt;=Dashboard!$B$55),"",A202+1)</f>
        <v/>
      </c>
      <c r="B203" s="1" t="str">
        <f aca="false">IF(A203="","",A203-DATE(YEAR(A203),1,0))</f>
        <v/>
      </c>
      <c r="C203" s="1" t="str">
        <f aca="false">IF(A203="","",0.409*SIN(2*PI()*B203/365-1.39))</f>
        <v/>
      </c>
      <c r="D203" s="1" t="str">
        <f aca="false">IF(A203="","",ACOS(-TAN(RADIANS(Dashboard!$B$53))*TAN(C203)))</f>
        <v/>
      </c>
      <c r="E203" s="1" t="str">
        <f aca="false">IF(A203="","",(24*60/PI())*0.082*(1+0.033*COS(2*PI()*B203/365))*(D203*SIN(RADIANS(Dashboard!$B$53))*SIN(C203)+COS(RADIANS(Dashboard!$B$53))*COS(C203)*SIN(D203)))</f>
        <v/>
      </c>
      <c r="F203" s="1" t="str">
        <f aca="false">IF(A203="","",24/PI()*D203)</f>
        <v/>
      </c>
      <c r="H203" s="1" t="n">
        <v>199</v>
      </c>
      <c r="I203" s="1" t="n">
        <f aca="false">0.409*SIN(2*PI()*H203/365-1.39)</f>
        <v>0.365604059847308</v>
      </c>
      <c r="J203" s="1" t="n">
        <f aca="false">ACOS(-TAN(RADIANS(Dashboard!$B$53))*TAN(I203))</f>
        <v>1.6844355715935</v>
      </c>
      <c r="K203" s="1" t="n">
        <f aca="false">(24*60/PI())*0.082*(1+0.033*COS(2*PI()*H203/365))*(J203*SIN(RADIANS(Dashboard!$B$53))*SIN(I203)+COS(RADIANS(Dashboard!$B$53))*COS(I203)*SIN(J203))</f>
        <v>38.6049604526214</v>
      </c>
      <c r="L203" s="1" t="n">
        <f aca="false">24/PI()*J203</f>
        <v>12.8681398818685</v>
      </c>
    </row>
    <row r="204" customFormat="false" ht="15" hidden="false" customHeight="true" outlineLevel="0" collapsed="false">
      <c r="A204" s="1" t="str">
        <f aca="false">IF(OR(A203="",A203&gt;=Dashboard!$B$55),"",A203+1)</f>
        <v/>
      </c>
      <c r="B204" s="1" t="str">
        <f aca="false">IF(A204="","",A204-DATE(YEAR(A204),1,0))</f>
        <v/>
      </c>
      <c r="C204" s="1" t="str">
        <f aca="false">IF(A204="","",0.409*SIN(2*PI()*B204/365-1.39))</f>
        <v/>
      </c>
      <c r="D204" s="1" t="str">
        <f aca="false">IF(A204="","",ACOS(-TAN(RADIANS(Dashboard!$B$53))*TAN(C204)))</f>
        <v/>
      </c>
      <c r="E204" s="1" t="str">
        <f aca="false">IF(A204="","",(24*60/PI())*0.082*(1+0.033*COS(2*PI()*B204/365))*(D204*SIN(RADIANS(Dashboard!$B$53))*SIN(C204)+COS(RADIANS(Dashboard!$B$53))*COS(C204)*SIN(D204)))</f>
        <v/>
      </c>
      <c r="F204" s="1" t="str">
        <f aca="false">IF(A204="","",24/PI()*D204)</f>
        <v/>
      </c>
      <c r="H204" s="1" t="n">
        <v>200</v>
      </c>
      <c r="I204" s="1" t="n">
        <f aca="false">0.409*SIN(2*PI()*H204/365-1.39)</f>
        <v>0.362393942562485</v>
      </c>
      <c r="J204" s="1" t="n">
        <f aca="false">ACOS(-TAN(RADIANS(Dashboard!$B$53))*TAN(I204))</f>
        <v>1.68333967672202</v>
      </c>
      <c r="K204" s="1" t="n">
        <f aca="false">(24*60/PI())*0.082*(1+0.033*COS(2*PI()*H204/365))*(J204*SIN(RADIANS(Dashboard!$B$53))*SIN(I204)+COS(RADIANS(Dashboard!$B$53))*COS(I204)*SIN(J204))</f>
        <v>38.5989037834236</v>
      </c>
      <c r="L204" s="1" t="n">
        <f aca="false">24/PI()*J204</f>
        <v>12.8597678617451</v>
      </c>
    </row>
    <row r="205" customFormat="false" ht="15" hidden="false" customHeight="true" outlineLevel="0" collapsed="false">
      <c r="A205" s="1" t="str">
        <f aca="false">IF(OR(A204="",A204&gt;=Dashboard!$B$55),"",A204+1)</f>
        <v/>
      </c>
      <c r="B205" s="1" t="str">
        <f aca="false">IF(A205="","",A205-DATE(YEAR(A205),1,0))</f>
        <v/>
      </c>
      <c r="C205" s="1" t="str">
        <f aca="false">IF(A205="","",0.409*SIN(2*PI()*B205/365-1.39))</f>
        <v/>
      </c>
      <c r="D205" s="1" t="str">
        <f aca="false">IF(A205="","",ACOS(-TAN(RADIANS(Dashboard!$B$53))*TAN(C205)))</f>
        <v/>
      </c>
      <c r="E205" s="1" t="str">
        <f aca="false">IF(A205="","",(24*60/PI())*0.082*(1+0.033*COS(2*PI()*B205/365))*(D205*SIN(RADIANS(Dashboard!$B$53))*SIN(C205)+COS(RADIANS(Dashboard!$B$53))*COS(C205)*SIN(D205)))</f>
        <v/>
      </c>
      <c r="F205" s="1" t="str">
        <f aca="false">IF(A205="","",24/PI()*D205)</f>
        <v/>
      </c>
      <c r="H205" s="1" t="n">
        <v>201</v>
      </c>
      <c r="I205" s="1" t="n">
        <f aca="false">0.409*SIN(2*PI()*H205/365-1.39)</f>
        <v>0.359076440131378</v>
      </c>
      <c r="J205" s="1" t="n">
        <f aca="false">ACOS(-TAN(RADIANS(Dashboard!$B$53))*TAN(I205))</f>
        <v>1.68221006308454</v>
      </c>
      <c r="K205" s="1" t="n">
        <f aca="false">(24*60/PI())*0.082*(1+0.033*COS(2*PI()*H205/365))*(J205*SIN(RADIANS(Dashboard!$B$53))*SIN(I205)+COS(RADIANS(Dashboard!$B$53))*COS(I205)*SIN(J205))</f>
        <v>38.5924164818519</v>
      </c>
      <c r="L205" s="1" t="n">
        <f aca="false">24/PI()*J205</f>
        <v>12.851138249224</v>
      </c>
    </row>
    <row r="206" customFormat="false" ht="15" hidden="false" customHeight="true" outlineLevel="0" collapsed="false">
      <c r="A206" s="1" t="str">
        <f aca="false">IF(OR(A205="",A205&gt;=Dashboard!$B$55),"",A205+1)</f>
        <v/>
      </c>
      <c r="B206" s="1" t="str">
        <f aca="false">IF(A206="","",A206-DATE(YEAR(A206),1,0))</f>
        <v/>
      </c>
      <c r="C206" s="1" t="str">
        <f aca="false">IF(A206="","",0.409*SIN(2*PI()*B206/365-1.39))</f>
        <v/>
      </c>
      <c r="D206" s="1" t="str">
        <f aca="false">IF(A206="","",ACOS(-TAN(RADIANS(Dashboard!$B$53))*TAN(C206)))</f>
        <v/>
      </c>
      <c r="E206" s="1" t="str">
        <f aca="false">IF(A206="","",(24*60/PI())*0.082*(1+0.033*COS(2*PI()*B206/365))*(D206*SIN(RADIANS(Dashboard!$B$53))*SIN(C206)+COS(RADIANS(Dashboard!$B$53))*COS(C206)*SIN(D206)))</f>
        <v/>
      </c>
      <c r="F206" s="1" t="str">
        <f aca="false">IF(A206="","",24/PI()*D206)</f>
        <v/>
      </c>
      <c r="H206" s="1" t="n">
        <v>202</v>
      </c>
      <c r="I206" s="1" t="n">
        <f aca="false">0.409*SIN(2*PI()*H206/365-1.39)</f>
        <v>0.355652535601556</v>
      </c>
      <c r="J206" s="1" t="n">
        <f aca="false">ACOS(-TAN(RADIANS(Dashboard!$B$53))*TAN(I206))</f>
        <v>1.68104731447095</v>
      </c>
      <c r="K206" s="1" t="n">
        <f aca="false">(24*60/PI())*0.082*(1+0.033*COS(2*PI()*H206/365))*(J206*SIN(RADIANS(Dashboard!$B$53))*SIN(I206)+COS(RADIANS(Dashboard!$B$53))*COS(I206)*SIN(J206))</f>
        <v>38.585462579718</v>
      </c>
      <c r="L206" s="1" t="n">
        <f aca="false">24/PI()*J206</f>
        <v>12.8422555041316</v>
      </c>
    </row>
    <row r="207" customFormat="false" ht="15" hidden="false" customHeight="true" outlineLevel="0" collapsed="false">
      <c r="A207" s="1" t="str">
        <f aca="false">IF(OR(A206="",A206&gt;=Dashboard!$B$55),"",A206+1)</f>
        <v/>
      </c>
      <c r="B207" s="1" t="str">
        <f aca="false">IF(A207="","",A207-DATE(YEAR(A207),1,0))</f>
        <v/>
      </c>
      <c r="C207" s="1" t="str">
        <f aca="false">IF(A207="","",0.409*SIN(2*PI()*B207/365-1.39))</f>
        <v/>
      </c>
      <c r="D207" s="1" t="str">
        <f aca="false">IF(A207="","",ACOS(-TAN(RADIANS(Dashboard!$B$53))*TAN(C207)))</f>
        <v/>
      </c>
      <c r="E207" s="1" t="str">
        <f aca="false">IF(A207="","",(24*60/PI())*0.082*(1+0.033*COS(2*PI()*B207/365))*(D207*SIN(RADIANS(Dashboard!$B$53))*SIN(C207)+COS(RADIANS(Dashboard!$B$53))*COS(C207)*SIN(D207)))</f>
        <v/>
      </c>
      <c r="F207" s="1" t="str">
        <f aca="false">IF(A207="","",24/PI()*D207)</f>
        <v/>
      </c>
      <c r="H207" s="1" t="n">
        <v>203</v>
      </c>
      <c r="I207" s="1" t="n">
        <f aca="false">0.409*SIN(2*PI()*H207/365-1.39)</f>
        <v>0.352123243549825</v>
      </c>
      <c r="J207" s="1" t="n">
        <f aca="false">ACOS(-TAN(RADIANS(Dashboard!$B$53))*TAN(I207))</f>
        <v>1.67985202373278</v>
      </c>
      <c r="K207" s="1" t="n">
        <f aca="false">(24*60/PI())*0.082*(1+0.033*COS(2*PI()*H207/365))*(J207*SIN(RADIANS(Dashboard!$B$53))*SIN(I207)+COS(RADIANS(Dashboard!$B$53))*COS(I207)*SIN(J207))</f>
        <v>38.5780053499762</v>
      </c>
      <c r="L207" s="1" t="n">
        <f aca="false">24/PI()*J207</f>
        <v>12.8331241555198</v>
      </c>
    </row>
    <row r="208" customFormat="false" ht="15" hidden="false" customHeight="true" outlineLevel="0" collapsed="false">
      <c r="A208" s="1" t="str">
        <f aca="false">IF(OR(A207="",A207&gt;=Dashboard!$B$55),"",A207+1)</f>
        <v/>
      </c>
      <c r="B208" s="1" t="str">
        <f aca="false">IF(A208="","",A208-DATE(YEAR(A208),1,0))</f>
        <v/>
      </c>
      <c r="C208" s="1" t="str">
        <f aca="false">IF(A208="","",0.409*SIN(2*PI()*B208/365-1.39))</f>
        <v/>
      </c>
      <c r="D208" s="1" t="str">
        <f aca="false">IF(A208="","",ACOS(-TAN(RADIANS(Dashboard!$B$53))*TAN(C208)))</f>
        <v/>
      </c>
      <c r="E208" s="1" t="str">
        <f aca="false">IF(A208="","",(24*60/PI())*0.082*(1+0.033*COS(2*PI()*B208/365))*(D208*SIN(RADIANS(Dashboard!$B$53))*SIN(C208)+COS(RADIANS(Dashboard!$B$53))*COS(C208)*SIN(D208)))</f>
        <v/>
      </c>
      <c r="F208" s="1" t="str">
        <f aca="false">IF(A208="","",24/PI()*D208)</f>
        <v/>
      </c>
      <c r="H208" s="1" t="n">
        <v>204</v>
      </c>
      <c r="I208" s="1" t="n">
        <f aca="false">0.409*SIN(2*PI()*H208/365-1.39)</f>
        <v>0.348489609781588</v>
      </c>
      <c r="J208" s="1" t="n">
        <f aca="false">ACOS(-TAN(RADIANS(Dashboard!$B$53))*TAN(I208))</f>
        <v>1.67862479189319</v>
      </c>
      <c r="K208" s="1" t="n">
        <f aca="false">(24*60/PI())*0.082*(1+0.033*COS(2*PI()*H208/365))*(J208*SIN(RADIANS(Dashboard!$B$53))*SIN(I208)+COS(RADIANS(Dashboard!$B$53))*COS(I208)*SIN(J208))</f>
        <v>38.5700073613383</v>
      </c>
      <c r="L208" s="1" t="n">
        <f aca="false">24/PI()*J208</f>
        <v>12.8237487948675</v>
      </c>
    </row>
    <row r="209" customFormat="false" ht="15" hidden="false" customHeight="true" outlineLevel="0" collapsed="false">
      <c r="A209" s="1" t="str">
        <f aca="false">IF(OR(A208="",A208&gt;=Dashboard!$B$55),"",A208+1)</f>
        <v/>
      </c>
      <c r="B209" s="1" t="str">
        <f aca="false">IF(A209="","",A209-DATE(YEAR(A209),1,0))</f>
        <v/>
      </c>
      <c r="C209" s="1" t="str">
        <f aca="false">IF(A209="","",0.409*SIN(2*PI()*B209/365-1.39))</f>
        <v/>
      </c>
      <c r="D209" s="1" t="str">
        <f aca="false">IF(A209="","",ACOS(-TAN(RADIANS(Dashboard!$B$53))*TAN(C209)))</f>
        <v/>
      </c>
      <c r="E209" s="1" t="str">
        <f aca="false">IF(A209="","",(24*60/PI())*0.082*(1+0.033*COS(2*PI()*B209/365))*(D209*SIN(RADIANS(Dashboard!$B$53))*SIN(C209)+COS(RADIANS(Dashboard!$B$53))*COS(C209)*SIN(D209)))</f>
        <v/>
      </c>
      <c r="F209" s="1" t="str">
        <f aca="false">IF(A209="","",24/PI()*D209)</f>
        <v/>
      </c>
      <c r="H209" s="1" t="n">
        <v>205</v>
      </c>
      <c r="I209" s="1" t="n">
        <f aca="false">0.409*SIN(2*PI()*H209/365-1.39)</f>
        <v>0.344752711020951</v>
      </c>
      <c r="J209" s="1" t="n">
        <f aca="false">ACOS(-TAN(RADIANS(Dashboard!$B$53))*TAN(I209))</f>
        <v>1.67736622726752</v>
      </c>
      <c r="K209" s="1" t="n">
        <f aca="false">(24*60/PI())*0.082*(1+0.033*COS(2*PI()*H209/365))*(J209*SIN(RADIANS(Dashboard!$B$53))*SIN(I209)+COS(RADIANS(Dashboard!$B$53))*COS(I209)*SIN(J209))</f>
        <v>38.5614305343369</v>
      </c>
      <c r="L209" s="1" t="n">
        <f aca="false">24/PI()*J209</f>
        <v>12.8141340693614</v>
      </c>
    </row>
    <row r="210" customFormat="false" ht="15" hidden="false" customHeight="true" outlineLevel="0" collapsed="false">
      <c r="A210" s="1" t="str">
        <f aca="false">IF(OR(A209="",A209&gt;=Dashboard!$B$55),"",A209+1)</f>
        <v/>
      </c>
      <c r="B210" s="1" t="str">
        <f aca="false">IF(A210="","",A210-DATE(YEAR(A210),1,0))</f>
        <v/>
      </c>
      <c r="C210" s="1" t="str">
        <f aca="false">IF(A210="","",0.409*SIN(2*PI()*B210/365-1.39))</f>
        <v/>
      </c>
      <c r="D210" s="1" t="str">
        <f aca="false">IF(A210="","",ACOS(-TAN(RADIANS(Dashboard!$B$53))*TAN(C210)))</f>
        <v/>
      </c>
      <c r="E210" s="1" t="str">
        <f aca="false">IF(A210="","",(24*60/PI())*0.082*(1+0.033*COS(2*PI()*B210/365))*(D210*SIN(RADIANS(Dashboard!$B$53))*SIN(C210)+COS(RADIANS(Dashboard!$B$53))*COS(C210)*SIN(D210)))</f>
        <v/>
      </c>
      <c r="F210" s="1" t="str">
        <f aca="false">IF(A210="","",24/PI()*D210)</f>
        <v/>
      </c>
      <c r="H210" s="1" t="n">
        <v>206</v>
      </c>
      <c r="I210" s="1" t="n">
        <f aca="false">0.409*SIN(2*PI()*H210/365-1.39)</f>
        <v>0.340913654591665</v>
      </c>
      <c r="J210" s="1" t="n">
        <f aca="false">ACOS(-TAN(RADIANS(Dashboard!$B$53))*TAN(I210))</f>
        <v>1.67607694459682</v>
      </c>
      <c r="K210" s="1" t="n">
        <f aca="false">(24*60/PI())*0.082*(1+0.033*COS(2*PI()*H210/365))*(J210*SIN(RADIANS(Dashboard!$B$53))*SIN(I210)+COS(RADIANS(Dashboard!$B$53))*COS(I210)*SIN(J210))</f>
        <v>38.5522361987882</v>
      </c>
      <c r="L210" s="1" t="n">
        <f aca="false">24/PI()*J210</f>
        <v>12.8042846752773</v>
      </c>
    </row>
    <row r="211" customFormat="false" ht="15" hidden="false" customHeight="true" outlineLevel="0" collapsed="false">
      <c r="A211" s="1" t="str">
        <f aca="false">IF(OR(A210="",A210&gt;=Dashboard!$B$55),"",A210+1)</f>
        <v/>
      </c>
      <c r="B211" s="1" t="str">
        <f aca="false">IF(A211="","",A211-DATE(YEAR(A211),1,0))</f>
        <v/>
      </c>
      <c r="C211" s="1" t="str">
        <f aca="false">IF(A211="","",0.409*SIN(2*PI()*B211/365-1.39))</f>
        <v/>
      </c>
      <c r="D211" s="1" t="str">
        <f aca="false">IF(A211="","",ACOS(-TAN(RADIANS(Dashboard!$B$53))*TAN(C211)))</f>
        <v/>
      </c>
      <c r="E211" s="1" t="str">
        <f aca="false">IF(A211="","",(24*60/PI())*0.082*(1+0.033*COS(2*PI()*B211/365))*(D211*SIN(RADIANS(Dashboard!$B$53))*SIN(C211)+COS(RADIANS(Dashboard!$B$53))*COS(C211)*SIN(D211)))</f>
        <v/>
      </c>
      <c r="F211" s="1" t="str">
        <f aca="false">IF(A211="","",24/PI()*D211)</f>
        <v/>
      </c>
      <c r="H211" s="1" t="n">
        <v>207</v>
      </c>
      <c r="I211" s="1" t="n">
        <f aca="false">0.409*SIN(2*PI()*H211/365-1.39)</f>
        <v>0.336973578089005</v>
      </c>
      <c r="J211" s="1" t="n">
        <f aca="false">ACOS(-TAN(RADIANS(Dashboard!$B$53))*TAN(I211))</f>
        <v>1.67475756419671</v>
      </c>
      <c r="K211" s="1" t="n">
        <f aca="false">(24*60/PI())*0.082*(1+0.033*COS(2*PI()*H211/365))*(J211*SIN(RADIANS(Dashboard!$B$53))*SIN(I211)+COS(RADIANS(Dashboard!$B$53))*COS(I211)*SIN(J211))</f>
        <v>38.5423851525962</v>
      </c>
      <c r="L211" s="1" t="n">
        <f aca="false">24/PI()*J211</f>
        <v>12.7942053514775</v>
      </c>
    </row>
    <row r="212" customFormat="false" ht="15" hidden="false" customHeight="true" outlineLevel="0" collapsed="false">
      <c r="A212" s="1" t="str">
        <f aca="false">IF(OR(A211="",A211&gt;=Dashboard!$B$55),"",A211+1)</f>
        <v/>
      </c>
      <c r="B212" s="1" t="str">
        <f aca="false">IF(A212="","",A212-DATE(YEAR(A212),1,0))</f>
        <v/>
      </c>
      <c r="C212" s="1" t="str">
        <f aca="false">IF(A212="","",0.409*SIN(2*PI()*B212/365-1.39))</f>
        <v/>
      </c>
      <c r="D212" s="1" t="str">
        <f aca="false">IF(A212="","",ACOS(-TAN(RADIANS(Dashboard!$B$53))*TAN(C212)))</f>
        <v/>
      </c>
      <c r="E212" s="1" t="str">
        <f aca="false">IF(A212="","",(24*60/PI())*0.082*(1+0.033*COS(2*PI()*B212/365))*(D212*SIN(RADIANS(Dashboard!$B$53))*SIN(C212)+COS(RADIANS(Dashboard!$B$53))*COS(C212)*SIN(D212)))</f>
        <v/>
      </c>
      <c r="F212" s="1" t="str">
        <f aca="false">IF(A212="","",24/PI()*D212)</f>
        <v/>
      </c>
      <c r="H212" s="1" t="n">
        <v>208</v>
      </c>
      <c r="I212" s="1" t="n">
        <f aca="false">0.409*SIN(2*PI()*H212/365-1.39)</f>
        <v>0.332933649042672</v>
      </c>
      <c r="J212" s="1" t="n">
        <f aca="false">ACOS(-TAN(RADIANS(Dashboard!$B$53))*TAN(I212))</f>
        <v>1.67340871112354</v>
      </c>
      <c r="K212" s="1" t="n">
        <f aca="false">(24*60/PI())*0.082*(1+0.033*COS(2*PI()*H212/365))*(J212*SIN(RADIANS(Dashboard!$B$53))*SIN(I212)+COS(RADIANS(Dashboard!$B$53))*COS(I212)*SIN(J212))</f>
        <v>38.5318377218443</v>
      </c>
      <c r="L212" s="1" t="n">
        <f aca="false">24/PI()*J212</f>
        <v>12.7839008730407</v>
      </c>
    </row>
    <row r="213" customFormat="false" ht="15" hidden="false" customHeight="true" outlineLevel="0" collapsed="false">
      <c r="A213" s="1" t="str">
        <f aca="false">IF(OR(A212="",A212&gt;=Dashboard!$B$55),"",A212+1)</f>
        <v/>
      </c>
      <c r="B213" s="1" t="str">
        <f aca="false">IF(A213="","",A213-DATE(YEAR(A213),1,0))</f>
        <v/>
      </c>
      <c r="C213" s="1" t="str">
        <f aca="false">IF(A213="","",0.409*SIN(2*PI()*B213/365-1.39))</f>
        <v/>
      </c>
      <c r="D213" s="1" t="str">
        <f aca="false">IF(A213="","",ACOS(-TAN(RADIANS(Dashboard!$B$53))*TAN(C213)))</f>
        <v/>
      </c>
      <c r="E213" s="1" t="str">
        <f aca="false">IF(A213="","",(24*60/PI())*0.082*(1+0.033*COS(2*PI()*B213/365))*(D213*SIN(RADIANS(Dashboard!$B$53))*SIN(C213)+COS(RADIANS(Dashboard!$B$53))*COS(C213)*SIN(D213)))</f>
        <v/>
      </c>
      <c r="F213" s="1" t="str">
        <f aca="false">IF(A213="","",24/PI()*D213)</f>
        <v/>
      </c>
      <c r="H213" s="1" t="n">
        <v>209</v>
      </c>
      <c r="I213" s="1" t="n">
        <f aca="false">0.409*SIN(2*PI()*H213/365-1.39)</f>
        <v>0.328795064570831</v>
      </c>
      <c r="J213" s="1" t="n">
        <f aca="false">ACOS(-TAN(RADIANS(Dashboard!$B$53))*TAN(I213))</f>
        <v>1.67203101435995</v>
      </c>
      <c r="K213" s="1" t="n">
        <f aca="false">(24*60/PI())*0.082*(1+0.033*COS(2*PI()*H213/365))*(J213*SIN(RADIANS(Dashboard!$B$53))*SIN(I213)+COS(RADIANS(Dashboard!$B$53))*COS(I213)*SIN(J213))</f>
        <v>38.5205538221112</v>
      </c>
      <c r="L213" s="1" t="n">
        <f aca="false">24/PI()*J213</f>
        <v>12.7733760450404</v>
      </c>
    </row>
    <row r="214" customFormat="false" ht="15" hidden="false" customHeight="true" outlineLevel="0" collapsed="false">
      <c r="A214" s="1" t="str">
        <f aca="false">IF(OR(A213="",A213&gt;=Dashboard!$B$55),"",A213+1)</f>
        <v/>
      </c>
      <c r="B214" s="1" t="str">
        <f aca="false">IF(A214="","",A214-DATE(YEAR(A214),1,0))</f>
        <v/>
      </c>
      <c r="C214" s="1" t="str">
        <f aca="false">IF(A214="","",0.409*SIN(2*PI()*B214/365-1.39))</f>
        <v/>
      </c>
      <c r="D214" s="1" t="str">
        <f aca="false">IF(A214="","",ACOS(-TAN(RADIANS(Dashboard!$B$53))*TAN(C214)))</f>
        <v/>
      </c>
      <c r="E214" s="1" t="str">
        <f aca="false">IF(A214="","",(24*60/PI())*0.082*(1+0.033*COS(2*PI()*B214/365))*(D214*SIN(RADIANS(Dashboard!$B$53))*SIN(C214)+COS(RADIANS(Dashboard!$B$53))*COS(C214)*SIN(D214)))</f>
        <v/>
      </c>
      <c r="F214" s="1" t="str">
        <f aca="false">IF(A214="","",24/PI()*D214)</f>
        <v/>
      </c>
      <c r="H214" s="1" t="n">
        <v>210</v>
      </c>
      <c r="I214" s="1" t="n">
        <f aca="false">0.409*SIN(2*PI()*H214/365-1.39)</f>
        <v>0.324559051025378</v>
      </c>
      <c r="J214" s="1" t="n">
        <f aca="false">ACOS(-TAN(RADIANS(Dashboard!$B$53))*TAN(I214))</f>
        <v>1.67062510602168</v>
      </c>
      <c r="K214" s="1" t="n">
        <f aca="false">(24*60/PI())*0.082*(1+0.033*COS(2*PI()*H214/365))*(J214*SIN(RADIANS(Dashboard!$B$53))*SIN(I214)+COS(RADIANS(Dashboard!$B$53))*COS(I214)*SIN(J214))</f>
        <v>38.5084930209467</v>
      </c>
      <c r="L214" s="1" t="n">
        <f aca="false">24/PI()*J214</f>
        <v>12.7626356964851</v>
      </c>
    </row>
    <row r="215" customFormat="false" ht="15" hidden="false" customHeight="true" outlineLevel="0" collapsed="false">
      <c r="A215" s="1" t="str">
        <f aca="false">IF(OR(A214="",A214&gt;=Dashboard!$B$55),"",A214+1)</f>
        <v/>
      </c>
      <c r="B215" s="1" t="str">
        <f aca="false">IF(A215="","",A215-DATE(YEAR(A215),1,0))</f>
        <v/>
      </c>
      <c r="C215" s="1" t="str">
        <f aca="false">IF(A215="","",0.409*SIN(2*PI()*B215/365-1.39))</f>
        <v/>
      </c>
      <c r="D215" s="1" t="str">
        <f aca="false">IF(A215="","",ACOS(-TAN(RADIANS(Dashboard!$B$53))*TAN(C215)))</f>
        <v/>
      </c>
      <c r="E215" s="1" t="str">
        <f aca="false">IF(A215="","",(24*60/PI())*0.082*(1+0.033*COS(2*PI()*B215/365))*(D215*SIN(RADIANS(Dashboard!$B$53))*SIN(C215)+COS(RADIANS(Dashboard!$B$53))*COS(C215)*SIN(D215)))</f>
        <v/>
      </c>
      <c r="F215" s="1" t="str">
        <f aca="false">IF(A215="","",24/PI()*D215)</f>
        <v/>
      </c>
      <c r="H215" s="1" t="n">
        <v>211</v>
      </c>
      <c r="I215" s="1" t="n">
        <f aca="false">0.409*SIN(2*PI()*H215/365-1.39)</f>
        <v>0.320226863628549</v>
      </c>
      <c r="J215" s="1" t="n">
        <f aca="false">ACOS(-TAN(RADIANS(Dashboard!$B$53))*TAN(I215))</f>
        <v>1.66919162058733</v>
      </c>
      <c r="K215" s="1" t="n">
        <f aca="false">(24*60/PI())*0.082*(1+0.033*COS(2*PI()*H215/365))*(J215*SIN(RADIANS(Dashboard!$B$53))*SIN(I215)+COS(RADIANS(Dashboard!$B$53))*COS(I215)*SIN(J215))</f>
        <v>38.4956146014411</v>
      </c>
      <c r="L215" s="1" t="n">
        <f aca="false">24/PI()*J215</f>
        <v>12.7516846744342</v>
      </c>
    </row>
    <row r="216" customFormat="false" ht="15" hidden="false" customHeight="true" outlineLevel="0" collapsed="false">
      <c r="A216" s="1" t="str">
        <f aca="false">IF(OR(A215="",A215&gt;=Dashboard!$B$55),"",A215+1)</f>
        <v/>
      </c>
      <c r="B216" s="1" t="str">
        <f aca="false">IF(A216="","",A216-DATE(YEAR(A216),1,0))</f>
        <v/>
      </c>
      <c r="C216" s="1" t="str">
        <f aca="false">IF(A216="","",0.409*SIN(2*PI()*B216/365-1.39))</f>
        <v/>
      </c>
      <c r="D216" s="1" t="str">
        <f aca="false">IF(A216="","",ACOS(-TAN(RADIANS(Dashboard!$B$53))*TAN(C216)))</f>
        <v/>
      </c>
      <c r="E216" s="1" t="str">
        <f aca="false">IF(A216="","",(24*60/PI())*0.082*(1+0.033*COS(2*PI()*B216/365))*(D216*SIN(RADIANS(Dashboard!$B$53))*SIN(C216)+COS(RADIANS(Dashboard!$B$53))*COS(C216)*SIN(D216)))</f>
        <v/>
      </c>
      <c r="F216" s="1" t="str">
        <f aca="false">IF(A216="","",24/PI()*D216)</f>
        <v/>
      </c>
      <c r="H216" s="1" t="n">
        <v>212</v>
      </c>
      <c r="I216" s="1" t="n">
        <f aca="false">0.409*SIN(2*PI()*H216/365-1.39)</f>
        <v>0.315799786100965</v>
      </c>
      <c r="J216" s="1" t="n">
        <f aca="false">ACOS(-TAN(RADIANS(Dashboard!$B$53))*TAN(I216))</f>
        <v>1.66773119415261</v>
      </c>
      <c r="K216" s="1" t="n">
        <f aca="false">(24*60/PI())*0.082*(1+0.033*COS(2*PI()*H216/365))*(J216*SIN(RADIANS(Dashboard!$B$53))*SIN(I216)+COS(RADIANS(Dashboard!$B$53))*COS(I216)*SIN(J216))</f>
        <v>38.4818776268159</v>
      </c>
      <c r="L216" s="1" t="n">
        <f aca="false">24/PI()*J216</f>
        <v>12.740527838301</v>
      </c>
    </row>
    <row r="217" customFormat="false" ht="15" hidden="false" customHeight="true" outlineLevel="0" collapsed="false">
      <c r="A217" s="1" t="str">
        <f aca="false">IF(OR(A216="",A216&gt;=Dashboard!$B$55),"",A216+1)</f>
        <v/>
      </c>
      <c r="B217" s="1" t="str">
        <f aca="false">IF(A217="","",A217-DATE(YEAR(A217),1,0))</f>
        <v/>
      </c>
      <c r="C217" s="1" t="str">
        <f aca="false">IF(A217="","",0.409*SIN(2*PI()*B217/365-1.39))</f>
        <v/>
      </c>
      <c r="D217" s="1" t="str">
        <f aca="false">IF(A217="","",ACOS(-TAN(RADIANS(Dashboard!$B$53))*TAN(C217)))</f>
        <v/>
      </c>
      <c r="E217" s="1" t="str">
        <f aca="false">IF(A217="","",(24*60/PI())*0.082*(1+0.033*COS(2*PI()*B217/365))*(D217*SIN(RADIANS(Dashboard!$B$53))*SIN(C217)+COS(RADIANS(Dashboard!$B$53))*COS(C217)*SIN(D217)))</f>
        <v/>
      </c>
      <c r="F217" s="1" t="str">
        <f aca="false">IF(A217="","",24/PI()*D217)</f>
        <v/>
      </c>
      <c r="H217" s="1" t="n">
        <v>213</v>
      </c>
      <c r="I217" s="1" t="n">
        <f aca="false">0.409*SIN(2*PI()*H217/365-1.39)</f>
        <v>0.311279130281242</v>
      </c>
      <c r="J217" s="1" t="n">
        <f aca="false">ACOS(-TAN(RADIANS(Dashboard!$B$53))*TAN(I217))</f>
        <v>1.66624446371061</v>
      </c>
      <c r="K217" s="1" t="n">
        <f aca="false">(24*60/PI())*0.082*(1+0.033*COS(2*PI()*H217/365))*(J217*SIN(RADIANS(Dashboard!$B$53))*SIN(I217)+COS(RADIANS(Dashboard!$B$53))*COS(I217)*SIN(J217))</f>
        <v>38.4672410059629</v>
      </c>
      <c r="L217" s="1" t="n">
        <f aca="false">24/PI()*J217</f>
        <v>12.7291700543543</v>
      </c>
    </row>
    <row r="218" customFormat="false" ht="15" hidden="false" customHeight="true" outlineLevel="0" collapsed="false">
      <c r="A218" s="1" t="str">
        <f aca="false">IF(OR(A217="",A217&gt;=Dashboard!$B$55),"",A217+1)</f>
        <v/>
      </c>
      <c r="B218" s="1" t="str">
        <f aca="false">IF(A218="","",A218-DATE(YEAR(A218),1,0))</f>
        <v/>
      </c>
      <c r="C218" s="1" t="str">
        <f aca="false">IF(A218="","",0.409*SIN(2*PI()*B218/365-1.39))</f>
        <v/>
      </c>
      <c r="D218" s="1" t="str">
        <f aca="false">IF(A218="","",ACOS(-TAN(RADIANS(Dashboard!$B$53))*TAN(C218)))</f>
        <v/>
      </c>
      <c r="E218" s="1" t="str">
        <f aca="false">IF(A218="","",(24*60/PI())*0.082*(1+0.033*COS(2*PI()*B218/365))*(D218*SIN(RADIANS(Dashboard!$B$53))*SIN(C218)+COS(RADIANS(Dashboard!$B$53))*COS(C218)*SIN(D218)))</f>
        <v/>
      </c>
      <c r="F218" s="1" t="str">
        <f aca="false">IF(A218="","",24/PI()*D218)</f>
        <v/>
      </c>
      <c r="H218" s="1" t="n">
        <v>214</v>
      </c>
      <c r="I218" s="1" t="n">
        <f aca="false">0.409*SIN(2*PI()*H218/365-1.39)</f>
        <v>0.306666235737262</v>
      </c>
      <c r="J218" s="1" t="n">
        <f aca="false">ACOS(-TAN(RADIANS(Dashboard!$B$53))*TAN(I218))</f>
        <v>1.66473206645923</v>
      </c>
      <c r="K218" s="1" t="n">
        <f aca="false">(24*60/PI())*0.082*(1+0.033*COS(2*PI()*H218/365))*(J218*SIN(RADIANS(Dashboard!$B$53))*SIN(I218)+COS(RADIANS(Dashboard!$B$53))*COS(I218)*SIN(J218))</f>
        <v>38.451663559853</v>
      </c>
      <c r="L218" s="1" t="n">
        <f aca="false">24/PI()*J218</f>
        <v>12.7176161904274</v>
      </c>
    </row>
    <row r="219" customFormat="false" ht="15" hidden="false" customHeight="true" outlineLevel="0" collapsed="false">
      <c r="A219" s="1" t="str">
        <f aca="false">IF(OR(A218="",A218&gt;=Dashboard!$B$55),"",A218+1)</f>
        <v/>
      </c>
      <c r="B219" s="1" t="str">
        <f aca="false">IF(A219="","",A219-DATE(YEAR(A219),1,0))</f>
        <v/>
      </c>
      <c r="C219" s="1" t="str">
        <f aca="false">IF(A219="","",0.409*SIN(2*PI()*B219/365-1.39))</f>
        <v/>
      </c>
      <c r="D219" s="1" t="str">
        <f aca="false">IF(A219="","",ACOS(-TAN(RADIANS(Dashboard!$B$53))*TAN(C219)))</f>
        <v/>
      </c>
      <c r="E219" s="1" t="str">
        <f aca="false">IF(A219="","",(24*60/PI())*0.082*(1+0.033*COS(2*PI()*B219/365))*(D219*SIN(RADIANS(Dashboard!$B$53))*SIN(C219)+COS(RADIANS(Dashboard!$B$53))*COS(C219)*SIN(D219)))</f>
        <v/>
      </c>
      <c r="F219" s="1" t="str">
        <f aca="false">IF(A219="","",24/PI()*D219)</f>
        <v/>
      </c>
      <c r="H219" s="1" t="n">
        <v>215</v>
      </c>
      <c r="I219" s="1" t="n">
        <f aca="false">0.409*SIN(2*PI()*H219/365-1.39)</f>
        <v>0.301962469369235</v>
      </c>
      <c r="J219" s="1" t="n">
        <f aca="false">ACOS(-TAN(RADIANS(Dashboard!$B$53))*TAN(I219))</f>
        <v>1.66319463913708</v>
      </c>
      <c r="K219" s="1" t="n">
        <f aca="false">(24*60/PI())*0.082*(1+0.033*COS(2*PI()*H219/365))*(J219*SIN(RADIANS(Dashboard!$B$53))*SIN(I219)+COS(RADIANS(Dashboard!$B$53))*COS(I219)*SIN(J219))</f>
        <v>38.4351040887359</v>
      </c>
      <c r="L219" s="1" t="n">
        <f aca="false">24/PI()*J219</f>
        <v>12.7058711108452</v>
      </c>
    </row>
    <row r="220" customFormat="false" ht="15" hidden="false" customHeight="true" outlineLevel="0" collapsed="false">
      <c r="A220" s="1" t="str">
        <f aca="false">IF(OR(A219="",A219&gt;=Dashboard!$B$55),"",A219+1)</f>
        <v/>
      </c>
      <c r="B220" s="1" t="str">
        <f aca="false">IF(A220="","",A220-DATE(YEAR(A220),1,0))</f>
        <v/>
      </c>
      <c r="C220" s="1" t="str">
        <f aca="false">IF(A220="","",0.409*SIN(2*PI()*B220/365-1.39))</f>
        <v/>
      </c>
      <c r="D220" s="1" t="str">
        <f aca="false">IF(A220="","",ACOS(-TAN(RADIANS(Dashboard!$B$53))*TAN(C220)))</f>
        <v/>
      </c>
      <c r="E220" s="1" t="str">
        <f aca="false">IF(A220="","",(24*60/PI())*0.082*(1+0.033*COS(2*PI()*B220/365))*(D220*SIN(RADIANS(Dashboard!$B$53))*SIN(C220)+COS(RADIANS(Dashboard!$B$53))*COS(C220)*SIN(D220)))</f>
        <v/>
      </c>
      <c r="F220" s="1" t="str">
        <f aca="false">IF(A220="","",24/PI()*D220)</f>
        <v/>
      </c>
      <c r="H220" s="1" t="n">
        <v>216</v>
      </c>
      <c r="I220" s="1" t="n">
        <f aca="false">0.409*SIN(2*PI()*H220/365-1.39)</f>
        <v>0.297169225004649</v>
      </c>
      <c r="J220" s="1" t="n">
        <f aca="false">ACOS(-TAN(RADIANS(Dashboard!$B$53))*TAN(I220))</f>
        <v>1.66163281738877</v>
      </c>
      <c r="K220" s="1" t="n">
        <f aca="false">(24*60/PI())*0.082*(1+0.033*COS(2*PI()*H220/365))*(J220*SIN(RADIANS(Dashboard!$B$53))*SIN(I220)+COS(RADIANS(Dashboard!$B$53))*COS(I220)*SIN(J220))</f>
        <v>38.4175214400448</v>
      </c>
      <c r="L220" s="1" t="n">
        <f aca="false">24/PI()*J220</f>
        <v>12.6939396715745</v>
      </c>
    </row>
    <row r="221" customFormat="false" ht="15" hidden="false" customHeight="true" outlineLevel="0" collapsed="false">
      <c r="A221" s="1" t="str">
        <f aca="false">IF(OR(A220="",A220&gt;=Dashboard!$B$55),"",A220+1)</f>
        <v/>
      </c>
      <c r="B221" s="1" t="str">
        <f aca="false">IF(A221="","",A221-DATE(YEAR(A221),1,0))</f>
        <v/>
      </c>
      <c r="C221" s="1" t="str">
        <f aca="false">IF(A221="","",0.409*SIN(2*PI()*B221/365-1.39))</f>
        <v/>
      </c>
      <c r="D221" s="1" t="str">
        <f aca="false">IF(A221="","",ACOS(-TAN(RADIANS(Dashboard!$B$53))*TAN(C221)))</f>
        <v/>
      </c>
      <c r="E221" s="1" t="str">
        <f aca="false">IF(A221="","",(24*60/PI())*0.082*(1+0.033*COS(2*PI()*B221/365))*(D221*SIN(RADIANS(Dashboard!$B$53))*SIN(C221)+COS(RADIANS(Dashboard!$B$53))*COS(C221)*SIN(D221)))</f>
        <v/>
      </c>
      <c r="F221" s="1" t="str">
        <f aca="false">IF(A221="","",24/PI()*D221)</f>
        <v/>
      </c>
      <c r="H221" s="1" t="n">
        <v>217</v>
      </c>
      <c r="I221" s="1" t="n">
        <f aca="false">0.409*SIN(2*PI()*H221/365-1.39)</f>
        <v>0.292287922985257</v>
      </c>
      <c r="J221" s="1" t="n">
        <f aca="false">ACOS(-TAN(RADIANS(Dashboard!$B$53))*TAN(I221))</f>
        <v>1.66004723516036</v>
      </c>
      <c r="K221" s="1" t="n">
        <f aca="false">(24*60/PI())*0.082*(1+0.033*COS(2*PI()*H221/365))*(J221*SIN(RADIANS(Dashboard!$B$53))*SIN(I221)+COS(RADIANS(Dashboard!$B$53))*COS(I221)*SIN(J221))</f>
        <v>38.3988745769224</v>
      </c>
      <c r="L221" s="1" t="n">
        <f aca="false">24/PI()*J221</f>
        <v>12.6818267156066</v>
      </c>
    </row>
    <row r="222" customFormat="false" ht="15" hidden="false" customHeight="true" outlineLevel="0" collapsed="false">
      <c r="A222" s="1" t="str">
        <f aca="false">IF(OR(A221="",A221&gt;=Dashboard!$B$55),"",A221+1)</f>
        <v/>
      </c>
      <c r="B222" s="1" t="str">
        <f aca="false">IF(A222="","",A222-DATE(YEAR(A222),1,0))</f>
        <v/>
      </c>
      <c r="C222" s="1" t="str">
        <f aca="false">IF(A222="","",0.409*SIN(2*PI()*B222/365-1.39))</f>
        <v/>
      </c>
      <c r="D222" s="1" t="str">
        <f aca="false">IF(A222="","",ACOS(-TAN(RADIANS(Dashboard!$B$53))*TAN(C222)))</f>
        <v/>
      </c>
      <c r="E222" s="1" t="str">
        <f aca="false">IF(A222="","",(24*60/PI())*0.082*(1+0.033*COS(2*PI()*B222/365))*(D222*SIN(RADIANS(Dashboard!$B$53))*SIN(C222)+COS(RADIANS(Dashboard!$B$53))*COS(C222)*SIN(D222)))</f>
        <v/>
      </c>
      <c r="F222" s="1" t="str">
        <f aca="false">IF(A222="","",24/PI()*D222)</f>
        <v/>
      </c>
      <c r="H222" s="1" t="n">
        <v>218</v>
      </c>
      <c r="I222" s="1" t="n">
        <f aca="false">0.409*SIN(2*PI()*H222/365-1.39)</f>
        <v>0.287320009746195</v>
      </c>
      <c r="J222" s="1" t="n">
        <f aca="false">ACOS(-TAN(RADIANS(Dashboard!$B$53))*TAN(I222))</f>
        <v>1.65843852412594</v>
      </c>
      <c r="K222" s="1" t="n">
        <f aca="false">(24*60/PI())*0.082*(1+0.033*COS(2*PI()*H222/365))*(J222*SIN(RADIANS(Dashboard!$B$53))*SIN(I222)+COS(RADIANS(Dashboard!$B$53))*COS(I222)*SIN(J222))</f>
        <v>38.3791226472759</v>
      </c>
      <c r="L222" s="1" t="n">
        <f aca="false">24/PI()*J222</f>
        <v>12.6695370685762</v>
      </c>
    </row>
    <row r="223" customFormat="false" ht="15" hidden="false" customHeight="true" outlineLevel="0" collapsed="false">
      <c r="A223" s="1" t="str">
        <f aca="false">IF(OR(A222="",A222&gt;=Dashboard!$B$55),"",A222+1)</f>
        <v/>
      </c>
      <c r="B223" s="1" t="str">
        <f aca="false">IF(A223="","",A223-DATE(YEAR(A223),1,0))</f>
        <v/>
      </c>
      <c r="C223" s="1" t="str">
        <f aca="false">IF(A223="","",0.409*SIN(2*PI()*B223/365-1.39))</f>
        <v/>
      </c>
      <c r="D223" s="1" t="str">
        <f aca="false">IF(A223="","",ACOS(-TAN(RADIANS(Dashboard!$B$53))*TAN(C223)))</f>
        <v/>
      </c>
      <c r="E223" s="1" t="str">
        <f aca="false">IF(A223="","",(24*60/PI())*0.082*(1+0.033*COS(2*PI()*B223/365))*(D223*SIN(RADIANS(Dashboard!$B$53))*SIN(C223)+COS(RADIANS(Dashboard!$B$53))*COS(C223)*SIN(D223)))</f>
        <v/>
      </c>
      <c r="F223" s="1" t="str">
        <f aca="false">IF(A223="","",24/PI()*D223)</f>
        <v/>
      </c>
      <c r="H223" s="1" t="n">
        <v>219</v>
      </c>
      <c r="I223" s="1" t="n">
        <f aca="false">0.409*SIN(2*PI()*H223/365-1.39)</f>
        <v>0.282266957387371</v>
      </c>
      <c r="J223" s="1" t="n">
        <f aca="false">ACOS(-TAN(RADIANS(Dashboard!$B$53))*TAN(I223))</f>
        <v>1.65680731314572</v>
      </c>
      <c r="K223" s="1" t="n">
        <f aca="false">(24*60/PI())*0.082*(1+0.033*COS(2*PI()*H223/365))*(J223*SIN(RADIANS(Dashboard!$B$53))*SIN(I223)+COS(RADIANS(Dashboard!$B$53))*COS(I223)*SIN(J223))</f>
        <v>38.3582250532704</v>
      </c>
      <c r="L223" s="1" t="n">
        <f aca="false">24/PI()*J223</f>
        <v>12.6570755346212</v>
      </c>
    </row>
    <row r="224" customFormat="false" ht="15" hidden="false" customHeight="true" outlineLevel="0" collapsed="false">
      <c r="A224" s="1" t="str">
        <f aca="false">IF(OR(A223="",A223&gt;=Dashboard!$B$55),"",A223+1)</f>
        <v/>
      </c>
      <c r="B224" s="1" t="str">
        <f aca="false">IF(A224="","",A224-DATE(YEAR(A224),1,0))</f>
        <v/>
      </c>
      <c r="C224" s="1" t="str">
        <f aca="false">IF(A224="","",0.409*SIN(2*PI()*B224/365-1.39))</f>
        <v/>
      </c>
      <c r="D224" s="1" t="str">
        <f aca="false">IF(A224="","",ACOS(-TAN(RADIANS(Dashboard!$B$53))*TAN(C224)))</f>
        <v/>
      </c>
      <c r="E224" s="1" t="str">
        <f aca="false">IF(A224="","",(24*60/PI())*0.082*(1+0.033*COS(2*PI()*B224/365))*(D224*SIN(RADIANS(Dashboard!$B$53))*SIN(C224)+COS(RADIANS(Dashboard!$B$53))*COS(C224)*SIN(D224)))</f>
        <v/>
      </c>
      <c r="F224" s="1" t="str">
        <f aca="false">IF(A224="","",24/PI()*D224)</f>
        <v/>
      </c>
      <c r="H224" s="1" t="n">
        <v>220</v>
      </c>
      <c r="I224" s="1" t="n">
        <f aca="false">0.409*SIN(2*PI()*H224/365-1.39)</f>
        <v>0.277130263237253</v>
      </c>
      <c r="J224" s="1" t="n">
        <f aca="false">ACOS(-TAN(RADIANS(Dashboard!$B$53))*TAN(I224))</f>
        <v>1.65515422775616</v>
      </c>
      <c r="K224" s="1" t="n">
        <f aca="false">(24*60/PI())*0.082*(1+0.033*COS(2*PI()*H224/365))*(J224*SIN(RADIANS(Dashboard!$B$53))*SIN(I224)+COS(RADIANS(Dashboard!$B$53))*COS(I224)*SIN(J224))</f>
        <v>38.3361415211654</v>
      </c>
      <c r="L224" s="1" t="n">
        <f aca="false">24/PI()*J224</f>
        <v>12.6444468924884</v>
      </c>
    </row>
    <row r="225" customFormat="false" ht="15" hidden="false" customHeight="true" outlineLevel="0" collapsed="false">
      <c r="A225" s="1" t="str">
        <f aca="false">IF(OR(A224="",A224&gt;=Dashboard!$B$55),"",A224+1)</f>
        <v/>
      </c>
      <c r="B225" s="1" t="str">
        <f aca="false">IF(A225="","",A225-DATE(YEAR(A225),1,0))</f>
        <v/>
      </c>
      <c r="C225" s="1" t="str">
        <f aca="false">IF(A225="","",0.409*SIN(2*PI()*B225/365-1.39))</f>
        <v/>
      </c>
      <c r="D225" s="1" t="str">
        <f aca="false">IF(A225="","",ACOS(-TAN(RADIANS(Dashboard!$B$53))*TAN(C225)))</f>
        <v/>
      </c>
      <c r="E225" s="1" t="str">
        <f aca="false">IF(A225="","",(24*60/PI())*0.082*(1+0.033*COS(2*PI()*B225/365))*(D225*SIN(RADIANS(Dashboard!$B$53))*SIN(C225)+COS(RADIANS(Dashboard!$B$53))*COS(C225)*SIN(D225)))</f>
        <v/>
      </c>
      <c r="F225" s="1" t="str">
        <f aca="false">IF(A225="","",24/PI()*D225)</f>
        <v/>
      </c>
      <c r="H225" s="1" t="n">
        <v>221</v>
      </c>
      <c r="I225" s="1" t="n">
        <f aca="false">0.409*SIN(2*PI()*H225/365-1.39)</f>
        <v>0.271911449409178</v>
      </c>
      <c r="J225" s="1" t="n">
        <f aca="false">ACOS(-TAN(RADIANS(Dashboard!$B$53))*TAN(I225))</f>
        <v>1.6534798896926</v>
      </c>
      <c r="K225" s="1" t="n">
        <f aca="false">(24*60/PI())*0.082*(1+0.033*COS(2*PI()*H225/365))*(J225*SIN(RADIANS(Dashboard!$B$53))*SIN(I225)+COS(RADIANS(Dashboard!$B$53))*COS(I225)*SIN(J225))</f>
        <v>38.3128321713968</v>
      </c>
      <c r="L225" s="1" t="n">
        <f aca="false">24/PI()*J225</f>
        <v>12.6316558918857</v>
      </c>
    </row>
    <row r="226" customFormat="false" ht="15" hidden="false" customHeight="true" outlineLevel="0" collapsed="false">
      <c r="A226" s="1" t="str">
        <f aca="false">IF(OR(A225="",A225&gt;=Dashboard!$B$55),"",A225+1)</f>
        <v/>
      </c>
      <c r="B226" s="1" t="str">
        <f aca="false">IF(A226="","",A226-DATE(YEAR(A226),1,0))</f>
        <v/>
      </c>
      <c r="C226" s="1" t="str">
        <f aca="false">IF(A226="","",0.409*SIN(2*PI()*B226/365-1.39))</f>
        <v/>
      </c>
      <c r="D226" s="1" t="str">
        <f aca="false">IF(A226="","",ACOS(-TAN(RADIANS(Dashboard!$B$53))*TAN(C226)))</f>
        <v/>
      </c>
      <c r="E226" s="1" t="str">
        <f aca="false">IF(A226="","",(24*60/PI())*0.082*(1+0.033*COS(2*PI()*B226/365))*(D226*SIN(RADIANS(Dashboard!$B$53))*SIN(C226)+COS(RADIANS(Dashboard!$B$53))*COS(C226)*SIN(D226)))</f>
        <v/>
      </c>
      <c r="F226" s="1" t="str">
        <f aca="false">IF(A226="","",24/PI()*D226)</f>
        <v/>
      </c>
      <c r="H226" s="1" t="n">
        <v>222</v>
      </c>
      <c r="I226" s="1" t="n">
        <f aca="false">0.409*SIN(2*PI()*H226/365-1.39)</f>
        <v>0.266612062350312</v>
      </c>
      <c r="J226" s="1" t="n">
        <f aca="false">ACOS(-TAN(RADIANS(Dashboard!$B$53))*TAN(I226))</f>
        <v>1.6517849164444</v>
      </c>
      <c r="K226" s="1" t="n">
        <f aca="false">(24*60/PI())*0.082*(1+0.033*COS(2*PI()*H226/365))*(J226*SIN(RADIANS(Dashboard!$B$53))*SIN(I226)+COS(RADIANS(Dashboard!$B$53))*COS(I226)*SIN(J226))</f>
        <v>38.2882575888043</v>
      </c>
      <c r="L226" s="1" t="n">
        <f aca="false">24/PI()*J226</f>
        <v>12.6187072500844</v>
      </c>
    </row>
    <row r="227" customFormat="false" ht="15" hidden="false" customHeight="true" outlineLevel="0" collapsed="false">
      <c r="A227" s="1" t="str">
        <f aca="false">IF(OR(A226="",A226&gt;=Dashboard!$B$55),"",A226+1)</f>
        <v/>
      </c>
      <c r="B227" s="1" t="str">
        <f aca="false">IF(A227="","",A227-DATE(YEAR(A227),1,0))</f>
        <v/>
      </c>
      <c r="C227" s="1" t="str">
        <f aca="false">IF(A227="","",0.409*SIN(2*PI()*B227/365-1.39))</f>
        <v/>
      </c>
      <c r="D227" s="1" t="str">
        <f aca="false">IF(A227="","",ACOS(-TAN(RADIANS(Dashboard!$B$53))*TAN(C227)))</f>
        <v/>
      </c>
      <c r="E227" s="1" t="str">
        <f aca="false">IF(A227="","",(24*60/PI())*0.082*(1+0.033*COS(2*PI()*B227/365))*(D227*SIN(RADIANS(Dashboard!$B$53))*SIN(C227)+COS(RADIANS(Dashboard!$B$53))*COS(C227)*SIN(D227)))</f>
        <v/>
      </c>
      <c r="F227" s="1" t="str">
        <f aca="false">IF(A227="","",24/PI()*D227)</f>
        <v/>
      </c>
      <c r="H227" s="1" t="n">
        <v>223</v>
      </c>
      <c r="I227" s="1" t="n">
        <f aca="false">0.409*SIN(2*PI()*H227/365-1.39)</f>
        <v>0.261233672383413</v>
      </c>
      <c r="J227" s="1" t="n">
        <f aca="false">ACOS(-TAN(RADIANS(Dashboard!$B$53))*TAN(I227))</f>
        <v>1.65006992084291</v>
      </c>
      <c r="K227" s="1" t="n">
        <f aca="false">(24*60/PI())*0.082*(1+0.033*COS(2*PI()*H227/365))*(J227*SIN(RADIANS(Dashboard!$B$53))*SIN(I227)+COS(RADIANS(Dashboard!$B$53))*COS(I227)*SIN(J227))</f>
        <v>38.2623788929029</v>
      </c>
      <c r="L227" s="1" t="n">
        <f aca="false">24/PI()*J227</f>
        <v>12.6056056487713</v>
      </c>
    </row>
    <row r="228" customFormat="false" ht="15" hidden="false" customHeight="true" outlineLevel="0" collapsed="false">
      <c r="A228" s="1" t="str">
        <f aca="false">IF(OR(A227="",A227&gt;=Dashboard!$B$55),"",A227+1)</f>
        <v/>
      </c>
      <c r="B228" s="1" t="str">
        <f aca="false">IF(A228="","",A228-DATE(YEAR(A228),1,0))</f>
        <v/>
      </c>
      <c r="C228" s="1" t="str">
        <f aca="false">IF(A228="","",0.409*SIN(2*PI()*B228/365-1.39))</f>
        <v/>
      </c>
      <c r="D228" s="1" t="str">
        <f aca="false">IF(A228="","",ACOS(-TAN(RADIANS(Dashboard!$B$53))*TAN(C228)))</f>
        <v/>
      </c>
      <c r="E228" s="1" t="str">
        <f aca="false">IF(A228="","",(24*60/PI())*0.082*(1+0.033*COS(2*PI()*B228/365))*(D228*SIN(RADIANS(Dashboard!$B$53))*SIN(C228)+COS(RADIANS(Dashboard!$B$53))*COS(C228)*SIN(D228)))</f>
        <v/>
      </c>
      <c r="F228" s="1" t="str">
        <f aca="false">IF(A228="","",24/PI()*D228)</f>
        <v/>
      </c>
      <c r="H228" s="1" t="n">
        <v>224</v>
      </c>
      <c r="I228" s="1" t="n">
        <f aca="false">0.409*SIN(2*PI()*H228/365-1.39)</f>
        <v>0.255777873241502</v>
      </c>
      <c r="J228" s="1" t="n">
        <f aca="false">ACOS(-TAN(RADIANS(Dashboard!$B$53))*TAN(I228))</f>
        <v>1.64833551068222</v>
      </c>
      <c r="K228" s="1" t="n">
        <f aca="false">(24*60/PI())*0.082*(1+0.033*COS(2*PI()*H228/365))*(J228*SIN(RADIANS(Dashboard!$B$53))*SIN(I228)+COS(RADIANS(Dashboard!$B$53))*COS(I228)*SIN(J228))</f>
        <v>38.2351578080936</v>
      </c>
      <c r="L228" s="1" t="n">
        <f aca="false">24/PI()*J228</f>
        <v>12.592355731151</v>
      </c>
    </row>
    <row r="229" customFormat="false" ht="15" hidden="false" customHeight="true" outlineLevel="0" collapsed="false">
      <c r="A229" s="1" t="str">
        <f aca="false">IF(OR(A228="",A228&gt;=Dashboard!$B$55),"",A228+1)</f>
        <v/>
      </c>
      <c r="B229" s="1" t="str">
        <f aca="false">IF(A229="","",A229-DATE(YEAR(A229),1,0))</f>
        <v/>
      </c>
      <c r="C229" s="1" t="str">
        <f aca="false">IF(A229="","",0.409*SIN(2*PI()*B229/365-1.39))</f>
        <v/>
      </c>
      <c r="D229" s="1" t="str">
        <f aca="false">IF(A229="","",ACOS(-TAN(RADIANS(Dashboard!$B$53))*TAN(C229)))</f>
        <v/>
      </c>
      <c r="E229" s="1" t="str">
        <f aca="false">IF(A229="","",(24*60/PI())*0.082*(1+0.033*COS(2*PI()*B229/365))*(D229*SIN(RADIANS(Dashboard!$B$53))*SIN(C229)+COS(RADIANS(Dashboard!$B$53))*COS(C229)*SIN(D229)))</f>
        <v/>
      </c>
      <c r="F229" s="1" t="str">
        <f aca="false">IF(A229="","",24/PI()*D229)</f>
        <v/>
      </c>
      <c r="H229" s="1" t="n">
        <v>225</v>
      </c>
      <c r="I229" s="1" t="n">
        <f aca="false">0.409*SIN(2*PI()*H229/365-1.39)</f>
        <v>0.250246281595611</v>
      </c>
      <c r="J229" s="1" t="n">
        <f aca="false">ACOS(-TAN(RADIANS(Dashboard!$B$53))*TAN(I229))</f>
        <v>1.64658228837248</v>
      </c>
      <c r="K229" s="1" t="n">
        <f aca="false">(24*60/PI())*0.082*(1+0.033*COS(2*PI()*H229/365))*(J229*SIN(RADIANS(Dashboard!$B$53))*SIN(I229)+COS(RADIANS(Dashboard!$B$53))*COS(I229)*SIN(J229))</f>
        <v>38.206556733708</v>
      </c>
      <c r="L229" s="1" t="n">
        <f aca="false">24/PI()*J229</f>
        <v>12.5789620992981</v>
      </c>
    </row>
    <row r="230" customFormat="false" ht="15" hidden="false" customHeight="true" outlineLevel="0" collapsed="false">
      <c r="A230" s="1" t="str">
        <f aca="false">IF(OR(A229="",A229&gt;=Dashboard!$B$55),"",A229+1)</f>
        <v/>
      </c>
      <c r="B230" s="1" t="str">
        <f aca="false">IF(A230="","",A230-DATE(YEAR(A230),1,0))</f>
        <v/>
      </c>
      <c r="C230" s="1" t="str">
        <f aca="false">IF(A230="","",0.409*SIN(2*PI()*B230/365-1.39))</f>
        <v/>
      </c>
      <c r="D230" s="1" t="str">
        <f aca="false">IF(A230="","",ACOS(-TAN(RADIANS(Dashboard!$B$53))*TAN(C230)))</f>
        <v/>
      </c>
      <c r="E230" s="1" t="str">
        <f aca="false">IF(A230="","",(24*60/PI())*0.082*(1+0.033*COS(2*PI()*B230/365))*(D230*SIN(RADIANS(Dashboard!$B$53))*SIN(C230)+COS(RADIANS(Dashboard!$B$53))*COS(C230)*SIN(D230)))</f>
        <v/>
      </c>
      <c r="F230" s="1" t="str">
        <f aca="false">IF(A230="","",24/PI()*D230)</f>
        <v/>
      </c>
      <c r="H230" s="1" t="n">
        <v>226</v>
      </c>
      <c r="I230" s="1" t="n">
        <f aca="false">0.409*SIN(2*PI()*H230/365-1.39)</f>
        <v>0.244640536575726</v>
      </c>
      <c r="J230" s="1" t="n">
        <f aca="false">ACOS(-TAN(RADIANS(Dashboard!$B$53))*TAN(I230))</f>
        <v>1.64481085062576</v>
      </c>
      <c r="K230" s="1" t="n">
        <f aca="false">(24*60/PI())*0.082*(1+0.033*COS(2*PI()*H230/365))*(J230*SIN(RADIANS(Dashboard!$B$53))*SIN(I230)+COS(RADIANS(Dashboard!$B$53))*COS(I230)*SIN(J230))</f>
        <v>38.1765388137787</v>
      </c>
      <c r="L230" s="1" t="n">
        <f aca="false">24/PI()*J230</f>
        <v>12.5654293117572</v>
      </c>
    </row>
    <row r="231" customFormat="false" ht="15" hidden="false" customHeight="true" outlineLevel="0" collapsed="false">
      <c r="A231" s="1" t="str">
        <f aca="false">IF(OR(A230="",A230&gt;=Dashboard!$B$55),"",A230+1)</f>
        <v/>
      </c>
      <c r="B231" s="1" t="str">
        <f aca="false">IF(A231="","",A231-DATE(YEAR(A231),1,0))</f>
        <v/>
      </c>
      <c r="C231" s="1" t="str">
        <f aca="false">IF(A231="","",0.409*SIN(2*PI()*B231/365-1.39))</f>
        <v/>
      </c>
      <c r="D231" s="1" t="str">
        <f aca="false">IF(A231="","",ACOS(-TAN(RADIANS(Dashboard!$B$53))*TAN(C231)))</f>
        <v/>
      </c>
      <c r="E231" s="1" t="str">
        <f aca="false">IF(A231="","",(24*60/PI())*0.082*(1+0.033*COS(2*PI()*B231/365))*(D231*SIN(RADIANS(Dashboard!$B$53))*SIN(C231)+COS(RADIANS(Dashboard!$B$53))*COS(C231)*SIN(D231)))</f>
        <v/>
      </c>
      <c r="F231" s="1" t="str">
        <f aca="false">IF(A231="","",24/PI()*D231)</f>
        <v/>
      </c>
      <c r="H231" s="1" t="n">
        <v>227</v>
      </c>
      <c r="I231" s="1" t="n">
        <f aca="false">0.409*SIN(2*PI()*H231/365-1.39)</f>
        <v>0.238962299285079</v>
      </c>
      <c r="J231" s="1" t="n">
        <f aca="false">ACOS(-TAN(RADIANS(Dashboard!$B$53))*TAN(I231))</f>
        <v>1.6430217881741</v>
      </c>
      <c r="K231" s="1" t="n">
        <f aca="false">(24*60/PI())*0.082*(1+0.033*COS(2*PI()*H231/365))*(J231*SIN(RADIANS(Dashboard!$B$53))*SIN(I231)+COS(RADIANS(Dashboard!$B$53))*COS(I231)*SIN(J231))</f>
        <v>38.1450680064277</v>
      </c>
      <c r="L231" s="1" t="n">
        <f aca="false">24/PI()*J231</f>
        <v>12.5517618813885</v>
      </c>
    </row>
    <row r="232" customFormat="false" ht="15" hidden="false" customHeight="true" outlineLevel="0" collapsed="false">
      <c r="A232" s="1" t="str">
        <f aca="false">IF(OR(A231="",A231&gt;=Dashboard!$B$55),"",A231+1)</f>
        <v/>
      </c>
      <c r="B232" s="1" t="str">
        <f aca="false">IF(A232="","",A232-DATE(YEAR(A232),1,0))</f>
        <v/>
      </c>
      <c r="C232" s="1" t="str">
        <f aca="false">IF(A232="","",0.409*SIN(2*PI()*B232/365-1.39))</f>
        <v/>
      </c>
      <c r="D232" s="1" t="str">
        <f aca="false">IF(A232="","",ACOS(-TAN(RADIANS(Dashboard!$B$53))*TAN(C232)))</f>
        <v/>
      </c>
      <c r="E232" s="1" t="str">
        <f aca="false">IF(A232="","",(24*60/PI())*0.082*(1+0.033*COS(2*PI()*B232/365))*(D232*SIN(RADIANS(Dashboard!$B$53))*SIN(C232)+COS(RADIANS(Dashboard!$B$53))*COS(C232)*SIN(D232)))</f>
        <v/>
      </c>
      <c r="F232" s="1" t="str">
        <f aca="false">IF(A232="","",24/PI()*D232)</f>
        <v/>
      </c>
      <c r="H232" s="1" t="n">
        <v>228</v>
      </c>
      <c r="I232" s="1" t="n">
        <f aca="false">0.409*SIN(2*PI()*H232/365-1.39)</f>
        <v>0.233213252307925</v>
      </c>
      <c r="J232" s="1" t="n">
        <f aca="false">ACOS(-TAN(RADIANS(Dashboard!$B$53))*TAN(I232))</f>
        <v>1.64121568551942</v>
      </c>
      <c r="K232" s="1" t="n">
        <f aca="false">(24*60/PI())*0.082*(1+0.033*COS(2*PI()*H232/365))*(J232*SIN(RADIANS(Dashboard!$B$53))*SIN(I232)+COS(RADIANS(Dashboard!$B$53))*COS(I232)*SIN(J232))</f>
        <v>38.1121091527606</v>
      </c>
      <c r="L232" s="1" t="n">
        <f aca="false">24/PI()*J232</f>
        <v>12.5379642734577</v>
      </c>
    </row>
    <row r="233" customFormat="false" ht="15" hidden="false" customHeight="true" outlineLevel="0" collapsed="false">
      <c r="A233" s="1" t="str">
        <f aca="false">IF(OR(A232="",A232&gt;=Dashboard!$B$55),"",A232+1)</f>
        <v/>
      </c>
      <c r="B233" s="1" t="str">
        <f aca="false">IF(A233="","",A233-DATE(YEAR(A233),1,0))</f>
        <v/>
      </c>
      <c r="C233" s="1" t="str">
        <f aca="false">IF(A233="","",0.409*SIN(2*PI()*B233/365-1.39))</f>
        <v/>
      </c>
      <c r="D233" s="1" t="str">
        <f aca="false">IF(A233="","",ACOS(-TAN(RADIANS(Dashboard!$B$53))*TAN(C233)))</f>
        <v/>
      </c>
      <c r="E233" s="1" t="str">
        <f aca="false">IF(A233="","",(24*60/PI())*0.082*(1+0.033*COS(2*PI()*B233/365))*(D233*SIN(RADIANS(Dashboard!$B$53))*SIN(C233)+COS(RADIANS(Dashboard!$B$53))*COS(C233)*SIN(D233)))</f>
        <v/>
      </c>
      <c r="F233" s="1" t="str">
        <f aca="false">IF(A233="","",24/PI()*D233)</f>
        <v/>
      </c>
      <c r="H233" s="1" t="n">
        <v>229</v>
      </c>
      <c r="I233" s="1" t="n">
        <f aca="false">0.409*SIN(2*PI()*H233/365-1.39)</f>
        <v>0.227395099210957</v>
      </c>
      <c r="J233" s="1" t="n">
        <f aca="false">ACOS(-TAN(RADIANS(Dashboard!$B$53))*TAN(I233))</f>
        <v>1.63939312071473</v>
      </c>
      <c r="K233" s="1" t="n">
        <f aca="false">(24*60/PI())*0.082*(1+0.033*COS(2*PI()*H233/365))*(J233*SIN(RADIANS(Dashboard!$B$53))*SIN(I233)+COS(RADIANS(Dashboard!$B$53))*COS(I233)*SIN(J233))</f>
        <v>38.0776280451578</v>
      </c>
      <c r="L233" s="1" t="n">
        <f aca="false">24/PI()*J233</f>
        <v>12.5240409039647</v>
      </c>
    </row>
    <row r="234" customFormat="false" ht="15" hidden="false" customHeight="true" outlineLevel="0" collapsed="false">
      <c r="A234" s="1" t="str">
        <f aca="false">IF(OR(A233="",A233&gt;=Dashboard!$B$55),"",A233+1)</f>
        <v/>
      </c>
      <c r="B234" s="1" t="str">
        <f aca="false">IF(A234="","",A234-DATE(YEAR(A234),1,0))</f>
        <v/>
      </c>
      <c r="C234" s="1" t="str">
        <f aca="false">IF(A234="","",0.409*SIN(2*PI()*B234/365-1.39))</f>
        <v/>
      </c>
      <c r="D234" s="1" t="str">
        <f aca="false">IF(A234="","",ACOS(-TAN(RADIANS(Dashboard!$B$53))*TAN(C234)))</f>
        <v/>
      </c>
      <c r="E234" s="1" t="str">
        <f aca="false">IF(A234="","",(24*60/PI())*0.082*(1+0.033*COS(2*PI()*B234/365))*(D234*SIN(RADIANS(Dashboard!$B$53))*SIN(C234)+COS(RADIANS(Dashboard!$B$53))*COS(C234)*SIN(D234)))</f>
        <v/>
      </c>
      <c r="F234" s="1" t="str">
        <f aca="false">IF(A234="","",24/PI()*D234)</f>
        <v/>
      </c>
      <c r="H234" s="1" t="n">
        <v>230</v>
      </c>
      <c r="I234" s="1" t="n">
        <f aca="false">0.409*SIN(2*PI()*H234/365-1.39)</f>
        <v>0.221509564038505</v>
      </c>
      <c r="J234" s="1" t="n">
        <f aca="false">ACOS(-TAN(RADIANS(Dashboard!$B$53))*TAN(I234))</f>
        <v>1.63755466517636</v>
      </c>
      <c r="K234" s="1" t="n">
        <f aca="false">(24*60/PI())*0.082*(1+0.033*COS(2*PI()*H234/365))*(J234*SIN(RADIANS(Dashboard!$B$53))*SIN(I234)+COS(RADIANS(Dashboard!$B$53))*COS(I234)*SIN(J234))</f>
        <v>38.0415914948488</v>
      </c>
      <c r="L234" s="1" t="n">
        <f aca="false">24/PI()*J234</f>
        <v>12.5099961382086</v>
      </c>
    </row>
    <row r="235" customFormat="false" ht="15" hidden="false" customHeight="true" outlineLevel="0" collapsed="false">
      <c r="A235" s="1" t="str">
        <f aca="false">IF(OR(A234="",A234&gt;=Dashboard!$B$55),"",A234+1)</f>
        <v/>
      </c>
      <c r="B235" s="1" t="str">
        <f aca="false">IF(A235="","",A235-DATE(YEAR(A235),1,0))</f>
        <v/>
      </c>
      <c r="C235" s="1" t="str">
        <f aca="false">IF(A235="","",0.409*SIN(2*PI()*B235/365-1.39))</f>
        <v/>
      </c>
      <c r="D235" s="1" t="str">
        <f aca="false">IF(A235="","",ACOS(-TAN(RADIANS(Dashboard!$B$53))*TAN(C235)))</f>
        <v/>
      </c>
      <c r="E235" s="1" t="str">
        <f aca="false">IF(A235="","",(24*60/PI())*0.082*(1+0.033*COS(2*PI()*B235/365))*(D235*SIN(RADIANS(Dashboard!$B$53))*SIN(C235)+COS(RADIANS(Dashboard!$B$53))*COS(C235)*SIN(D235)))</f>
        <v/>
      </c>
      <c r="F235" s="1" t="str">
        <f aca="false">IF(A235="","",24/PI()*D235)</f>
        <v/>
      </c>
      <c r="H235" s="1" t="n">
        <v>231</v>
      </c>
      <c r="I235" s="1" t="n">
        <f aca="false">0.409*SIN(2*PI()*H235/365-1.39)</f>
        <v>0.215558390801661</v>
      </c>
      <c r="J235" s="1" t="n">
        <f aca="false">ACOS(-TAN(RADIANS(Dashboard!$B$53))*TAN(I235))</f>
        <v>1.63570088352641</v>
      </c>
      <c r="K235" s="1" t="n">
        <f aca="false">(24*60/PI())*0.082*(1+0.033*COS(2*PI()*H235/365))*(J235*SIN(RADIANS(Dashboard!$B$53))*SIN(I235)+COS(RADIANS(Dashboard!$B$53))*COS(I235)*SIN(J235))</f>
        <v>38.0039673986588</v>
      </c>
      <c r="L235" s="1" t="n">
        <f aca="false">24/PI()*J235</f>
        <v>12.4958342895844</v>
      </c>
    </row>
    <row r="236" customFormat="false" ht="15" hidden="false" customHeight="true" outlineLevel="0" collapsed="false">
      <c r="A236" s="1" t="str">
        <f aca="false">IF(OR(A235="",A235&gt;=Dashboard!$B$55),"",A235+1)</f>
        <v/>
      </c>
      <c r="B236" s="1" t="str">
        <f aca="false">IF(A236="","",A236-DATE(YEAR(A236),1,0))</f>
        <v/>
      </c>
      <c r="C236" s="1" t="str">
        <f aca="false">IF(A236="","",0.409*SIN(2*PI()*B236/365-1.39))</f>
        <v/>
      </c>
      <c r="D236" s="1" t="str">
        <f aca="false">IF(A236="","",ACOS(-TAN(RADIANS(Dashboard!$B$53))*TAN(C236)))</f>
        <v/>
      </c>
      <c r="E236" s="1" t="str">
        <f aca="false">IF(A236="","",(24*60/PI())*0.082*(1+0.033*COS(2*PI()*B236/365))*(D236*SIN(RADIANS(Dashboard!$B$53))*SIN(C236)+COS(RADIANS(Dashboard!$B$53))*COS(C236)*SIN(D236)))</f>
        <v/>
      </c>
      <c r="F236" s="1" t="str">
        <f aca="false">IF(A236="","",24/PI()*D236)</f>
        <v/>
      </c>
      <c r="H236" s="1" t="n">
        <v>232</v>
      </c>
      <c r="I236" s="1" t="n">
        <f aca="false">0.409*SIN(2*PI()*H236/365-1.39)</f>
        <v>0.209543342961491</v>
      </c>
      <c r="J236" s="1" t="n">
        <f aca="false">ACOS(-TAN(RADIANS(Dashboard!$B$53))*TAN(I236))</f>
        <v>1.63383233346492</v>
      </c>
      <c r="K236" s="1" t="n">
        <f aca="false">(24*60/PI())*0.082*(1+0.033*COS(2*PI()*H236/365))*(J236*SIN(RADIANS(Dashboard!$B$53))*SIN(I236)+COS(RADIANS(Dashboard!$B$53))*COS(I236)*SIN(J236))</f>
        <v>37.9647248048144</v>
      </c>
      <c r="L236" s="1" t="n">
        <f aca="false">24/PI()*J236</f>
        <v>12.4815596186068</v>
      </c>
    </row>
    <row r="237" customFormat="false" ht="15" hidden="false" customHeight="true" outlineLevel="0" collapsed="false">
      <c r="A237" s="1" t="str">
        <f aca="false">IF(OR(A236="",A236&gt;=Dashboard!$B$55),"",A236+1)</f>
        <v/>
      </c>
      <c r="B237" s="1" t="str">
        <f aca="false">IF(A237="","",A237-DATE(YEAR(A237),1,0))</f>
        <v/>
      </c>
      <c r="C237" s="1" t="str">
        <f aca="false">IF(A237="","",0.409*SIN(2*PI()*B237/365-1.39))</f>
        <v/>
      </c>
      <c r="D237" s="1" t="str">
        <f aca="false">IF(A237="","",ACOS(-TAN(RADIANS(Dashboard!$B$53))*TAN(C237)))</f>
        <v/>
      </c>
      <c r="E237" s="1" t="str">
        <f aca="false">IF(A237="","",(24*60/PI())*0.082*(1+0.033*COS(2*PI()*B237/365))*(D237*SIN(RADIANS(Dashboard!$B$53))*SIN(C237)+COS(RADIANS(Dashboard!$B$53))*COS(C237)*SIN(D237)))</f>
        <v/>
      </c>
      <c r="F237" s="1" t="str">
        <f aca="false">IF(A237="","",24/PI()*D237)</f>
        <v/>
      </c>
      <c r="H237" s="1" t="n">
        <v>233</v>
      </c>
      <c r="I237" s="1" t="n">
        <f aca="false">0.409*SIN(2*PI()*H237/365-1.39)</f>
        <v>0.203466202906486</v>
      </c>
      <c r="J237" s="1" t="n">
        <f aca="false">ACOS(-TAN(RADIANS(Dashboard!$B$53))*TAN(I237))</f>
        <v>1.63194956567104</v>
      </c>
      <c r="K237" s="1" t="n">
        <f aca="false">(24*60/PI())*0.082*(1+0.033*COS(2*PI()*H237/365))*(J237*SIN(RADIANS(Dashboard!$B$53))*SIN(I237)+COS(RADIANS(Dashboard!$B$53))*COS(I237)*SIN(J237))</f>
        <v>37.9238339776952</v>
      </c>
      <c r="L237" s="1" t="n">
        <f aca="false">24/PI()*J237</f>
        <v>12.4671763321545</v>
      </c>
    </row>
    <row r="238" customFormat="false" ht="15" hidden="false" customHeight="true" outlineLevel="0" collapsed="false">
      <c r="A238" s="1" t="str">
        <f aca="false">IF(OR(A237="",A237&gt;=Dashboard!$B$55),"",A237+1)</f>
        <v/>
      </c>
      <c r="B238" s="1" t="str">
        <f aca="false">IF(A238="","",A238-DATE(YEAR(A238),1,0))</f>
        <v/>
      </c>
      <c r="C238" s="1" t="str">
        <f aca="false">IF(A238="","",0.409*SIN(2*PI()*B238/365-1.39))</f>
        <v/>
      </c>
      <c r="D238" s="1" t="str">
        <f aca="false">IF(A238="","",ACOS(-TAN(RADIANS(Dashboard!$B$53))*TAN(C238)))</f>
        <v/>
      </c>
      <c r="E238" s="1" t="str">
        <f aca="false">IF(A238="","",(24*60/PI())*0.082*(1+0.033*COS(2*PI()*B238/365))*(D238*SIN(RADIANS(Dashboard!$B$53))*SIN(C238)+COS(RADIANS(Dashboard!$B$53))*COS(C238)*SIN(D238)))</f>
        <v/>
      </c>
      <c r="F238" s="1" t="str">
        <f aca="false">IF(A238="","",24/PI()*D238)</f>
        <v/>
      </c>
      <c r="H238" s="1" t="n">
        <v>234</v>
      </c>
      <c r="I238" s="1" t="n">
        <f aca="false">0.409*SIN(2*PI()*H238/365-1.39)</f>
        <v>0.197328771424399</v>
      </c>
      <c r="J238" s="1" t="n">
        <f aca="false">ACOS(-TAN(RADIANS(Dashboard!$B$53))*TAN(I238))</f>
        <v>1.63005312373247</v>
      </c>
      <c r="K238" s="1" t="n">
        <f aca="false">(24*60/PI())*0.082*(1+0.033*COS(2*PI()*H238/365))*(J238*SIN(RADIANS(Dashboard!$B$53))*SIN(I238)+COS(RADIANS(Dashboard!$B$53))*COS(I238)*SIN(J238))</f>
        <v>37.8812664614202</v>
      </c>
      <c r="L238" s="1" t="n">
        <f aca="false">24/PI()*J238</f>
        <v>12.4526885829316</v>
      </c>
    </row>
    <row r="239" customFormat="false" ht="15" hidden="false" customHeight="true" outlineLevel="0" collapsed="false">
      <c r="A239" s="1" t="str">
        <f aca="false">IF(OR(A238="",A238&gt;=Dashboard!$B$55),"",A238+1)</f>
        <v/>
      </c>
      <c r="B239" s="1" t="str">
        <f aca="false">IF(A239="","",A239-DATE(YEAR(A239),1,0))</f>
        <v/>
      </c>
      <c r="C239" s="1" t="str">
        <f aca="false">IF(A239="","",0.409*SIN(2*PI()*B239/365-1.39))</f>
        <v/>
      </c>
      <c r="D239" s="1" t="str">
        <f aca="false">IF(A239="","",ACOS(-TAN(RADIANS(Dashboard!$B$53))*TAN(C239)))</f>
        <v/>
      </c>
      <c r="E239" s="1" t="str">
        <f aca="false">IF(A239="","",(24*60/PI())*0.082*(1+0.033*COS(2*PI()*B239/365))*(D239*SIN(RADIANS(Dashboard!$B$53))*SIN(C239)+COS(RADIANS(Dashboard!$B$53))*COS(C239)*SIN(D239)))</f>
        <v/>
      </c>
      <c r="F239" s="1" t="str">
        <f aca="false">IF(A239="","",24/PI()*D239)</f>
        <v/>
      </c>
      <c r="H239" s="1" t="n">
        <v>235</v>
      </c>
      <c r="I239" s="1" t="n">
        <f aca="false">0.409*SIN(2*PI()*H239/365-1.39)</f>
        <v>0.191132867168636</v>
      </c>
      <c r="J239" s="1" t="n">
        <f aca="false">ACOS(-TAN(RADIANS(Dashboard!$B$53))*TAN(I239))</f>
        <v>1.62814354410239</v>
      </c>
      <c r="K239" s="1" t="n">
        <f aca="false">(24*60/PI())*0.082*(1+0.033*COS(2*PI()*H239/365))*(J239*SIN(RADIANS(Dashboard!$B$53))*SIN(I239)+COS(RADIANS(Dashboard!$B$53))*COS(I239)*SIN(J239))</f>
        <v>37.836995142157</v>
      </c>
      <c r="L239" s="1" t="n">
        <f aca="false">24/PI()*J239</f>
        <v>12.4381004691385</v>
      </c>
    </row>
    <row r="240" customFormat="false" ht="15" hidden="false" customHeight="true" outlineLevel="0" collapsed="false">
      <c r="A240" s="1" t="str">
        <f aca="false">IF(OR(A239="",A239&gt;=Dashboard!$B$55),"",A239+1)</f>
        <v/>
      </c>
      <c r="B240" s="1" t="str">
        <f aca="false">IF(A240="","",A240-DATE(YEAR(A240),1,0))</f>
        <v/>
      </c>
      <c r="C240" s="1" t="str">
        <f aca="false">IF(A240="","",0.409*SIN(2*PI()*B240/365-1.39))</f>
        <v/>
      </c>
      <c r="D240" s="1" t="str">
        <f aca="false">IF(A240="","",ACOS(-TAN(RADIANS(Dashboard!$B$53))*TAN(C240)))</f>
        <v/>
      </c>
      <c r="E240" s="1" t="str">
        <f aca="false">IF(A240="","",(24*60/PI())*0.082*(1+0.033*COS(2*PI()*B240/365))*(D240*SIN(RADIANS(Dashboard!$B$53))*SIN(C240)+COS(RADIANS(Dashboard!$B$53))*COS(C240)*SIN(D240)))</f>
        <v/>
      </c>
      <c r="F240" s="1" t="str">
        <f aca="false">IF(A240="","",24/PI()*D240)</f>
        <v/>
      </c>
      <c r="H240" s="1" t="n">
        <v>236</v>
      </c>
      <c r="I240" s="1" t="n">
        <f aca="false">0.409*SIN(2*PI()*H240/365-1.39)</f>
        <v>0.184880326119345</v>
      </c>
      <c r="J240" s="1" t="n">
        <f aca="false">ACOS(-TAN(RADIANS(Dashboard!$B$53))*TAN(I240))</f>
        <v>1.62622135608306</v>
      </c>
      <c r="K240" s="1" t="n">
        <f aca="false">(24*60/PI())*0.082*(1+0.033*COS(2*PI()*H240/365))*(J240*SIN(RADIANS(Dashboard!$B$53))*SIN(I240)+COS(RADIANS(Dashboard!$B$53))*COS(I240)*SIN(J240))</f>
        <v>37.790994309042</v>
      </c>
      <c r="L240" s="1" t="n">
        <f aca="false">24/PI()*J240</f>
        <v>12.4234160343468</v>
      </c>
    </row>
    <row r="241" customFormat="false" ht="15" hidden="false" customHeight="true" outlineLevel="0" collapsed="false">
      <c r="A241" s="1" t="str">
        <f aca="false">IF(OR(A240="",A240&gt;=Dashboard!$B$55),"",A240+1)</f>
        <v/>
      </c>
      <c r="B241" s="1" t="str">
        <f aca="false">IF(A241="","",A241-DATE(YEAR(A241),1,0))</f>
        <v/>
      </c>
      <c r="C241" s="1" t="str">
        <f aca="false">IF(A241="","",0.409*SIN(2*PI()*B241/365-1.39))</f>
        <v/>
      </c>
      <c r="D241" s="1" t="str">
        <f aca="false">IF(A241="","",ACOS(-TAN(RADIANS(Dashboard!$B$53))*TAN(C241)))</f>
        <v/>
      </c>
      <c r="E241" s="1" t="str">
        <f aca="false">IF(A241="","",(24*60/PI())*0.082*(1+0.033*COS(2*PI()*B241/365))*(D241*SIN(RADIANS(Dashboard!$B$53))*SIN(C241)+COS(RADIANS(Dashboard!$B$53))*COS(C241)*SIN(D241)))</f>
        <v/>
      </c>
      <c r="F241" s="1" t="str">
        <f aca="false">IF(A241="","",24/PI()*D241)</f>
        <v/>
      </c>
      <c r="H241" s="1" t="n">
        <v>237</v>
      </c>
      <c r="I241" s="1" t="n">
        <f aca="false">0.409*SIN(2*PI()*H241/365-1.39)</f>
        <v>0.178573001039381</v>
      </c>
      <c r="J241" s="1" t="n">
        <f aca="false">ACOS(-TAN(RADIANS(Dashboard!$B$53))*TAN(I241))</f>
        <v>1.62428708183531</v>
      </c>
      <c r="K241" s="1" t="n">
        <f aca="false">(24*60/PI())*0.082*(1+0.033*COS(2*PI()*H241/365))*(J241*SIN(RADIANS(Dashboard!$B$53))*SIN(I241)+COS(RADIANS(Dashboard!$B$53))*COS(I241)*SIN(J241))</f>
        <v>37.7432397136038</v>
      </c>
      <c r="L241" s="1" t="n">
        <f aca="false">24/PI()*J241</f>
        <v>12.4086392675712</v>
      </c>
    </row>
    <row r="242" customFormat="false" ht="15" hidden="false" customHeight="true" outlineLevel="0" collapsed="false">
      <c r="A242" s="1" t="str">
        <f aca="false">IF(OR(A241="",A241&gt;=Dashboard!$B$55),"",A241+1)</f>
        <v/>
      </c>
      <c r="B242" s="1" t="str">
        <f aca="false">IF(A242="","",A242-DATE(YEAR(A242),1,0))</f>
        <v/>
      </c>
      <c r="C242" s="1" t="str">
        <f aca="false">IF(A242="","",0.409*SIN(2*PI()*B242/365-1.39))</f>
        <v/>
      </c>
      <c r="D242" s="1" t="str">
        <f aca="false">IF(A242="","",ACOS(-TAN(RADIANS(Dashboard!$B$53))*TAN(C242)))</f>
        <v/>
      </c>
      <c r="E242" s="1" t="str">
        <f aca="false">IF(A242="","",(24*60/PI())*0.082*(1+0.033*COS(2*PI()*B242/365))*(D242*SIN(RADIANS(Dashboard!$B$53))*SIN(C242)+COS(RADIANS(Dashboard!$B$53))*COS(C242)*SIN(D242)))</f>
        <v/>
      </c>
      <c r="F242" s="1" t="str">
        <f aca="false">IF(A242="","",24/PI()*D242)</f>
        <v/>
      </c>
      <c r="H242" s="1" t="n">
        <v>238</v>
      </c>
      <c r="I242" s="1" t="n">
        <f aca="false">0.409*SIN(2*PI()*H242/365-1.39)</f>
        <v>0.172212760925288</v>
      </c>
      <c r="J242" s="1" t="n">
        <f aca="false">ACOS(-TAN(RADIANS(Dashboard!$B$53))*TAN(I242))</f>
        <v>1.62234123641297</v>
      </c>
      <c r="K242" s="1" t="n">
        <f aca="false">(24*60/PI())*0.082*(1+0.033*COS(2*PI()*H242/365))*(J242*SIN(RADIANS(Dashboard!$B$53))*SIN(I242)+COS(RADIANS(Dashboard!$B$53))*COS(I242)*SIN(J242))</f>
        <v>37.6937086275792</v>
      </c>
      <c r="L242" s="1" t="n">
        <f aca="false">24/PI()*J242</f>
        <v>12.3937741035332</v>
      </c>
    </row>
    <row r="243" customFormat="false" ht="15" hidden="false" customHeight="true" outlineLevel="0" collapsed="false">
      <c r="A243" s="1" t="str">
        <f aca="false">IF(OR(A242="",A242&gt;=Dashboard!$B$55),"",A242+1)</f>
        <v/>
      </c>
      <c r="B243" s="1" t="str">
        <f aca="false">IF(A243="","",A243-DATE(YEAR(A243),1,0))</f>
        <v/>
      </c>
      <c r="C243" s="1" t="str">
        <f aca="false">IF(A243="","",0.409*SIN(2*PI()*B243/365-1.39))</f>
        <v/>
      </c>
      <c r="D243" s="1" t="str">
        <f aca="false">IF(A243="","",ACOS(-TAN(RADIANS(Dashboard!$B$53))*TAN(C243)))</f>
        <v/>
      </c>
      <c r="E243" s="1" t="str">
        <f aca="false">IF(A243="","",(24*60/PI())*0.082*(1+0.033*COS(2*PI()*B243/365))*(D243*SIN(RADIANS(Dashboard!$B$53))*SIN(C243)+COS(RADIANS(Dashboard!$B$53))*COS(C243)*SIN(D243)))</f>
        <v/>
      </c>
      <c r="F243" s="1" t="str">
        <f aca="false">IF(A243="","",24/PI()*D243)</f>
        <v/>
      </c>
      <c r="H243" s="1" t="n">
        <v>239</v>
      </c>
      <c r="I243" s="1" t="n">
        <f aca="false">0.409*SIN(2*PI()*H243/365-1.39)</f>
        <v>0.165801490453477</v>
      </c>
      <c r="J243" s="1" t="n">
        <f aca="false">ACOS(-TAN(RADIANS(Dashboard!$B$53))*TAN(I243))</f>
        <v>1.6203843278214</v>
      </c>
      <c r="K243" s="1" t="n">
        <f aca="false">(24*60/PI())*0.082*(1+0.033*COS(2*PI()*H243/365))*(J243*SIN(RADIANS(Dashboard!$B$53))*SIN(I243)+COS(RADIANS(Dashboard!$B$53))*COS(I243)*SIN(J243))</f>
        <v>37.6423798990172</v>
      </c>
      <c r="L243" s="1" t="n">
        <f aca="false">24/PI()*J243</f>
        <v>12.3788244231079</v>
      </c>
    </row>
    <row r="244" customFormat="false" ht="15" hidden="false" customHeight="true" outlineLevel="0" collapsed="false">
      <c r="A244" s="1" t="str">
        <f aca="false">IF(OR(A243="",A243&gt;=Dashboard!$B$55),"",A243+1)</f>
        <v/>
      </c>
      <c r="B244" s="1" t="str">
        <f aca="false">IF(A244="","",A244-DATE(YEAR(A244),1,0))</f>
        <v/>
      </c>
      <c r="C244" s="1" t="str">
        <f aca="false">IF(A244="","",0.409*SIN(2*PI()*B244/365-1.39))</f>
        <v/>
      </c>
      <c r="D244" s="1" t="str">
        <f aca="false">IF(A244="","",ACOS(-TAN(RADIANS(Dashboard!$B$53))*TAN(C244)))</f>
        <v/>
      </c>
      <c r="E244" s="1" t="str">
        <f aca="false">IF(A244="","",(24*60/PI())*0.082*(1+0.033*COS(2*PI()*B244/365))*(D244*SIN(RADIANS(Dashboard!$B$53))*SIN(C244)+COS(RADIANS(Dashboard!$B$53))*COS(C244)*SIN(D244)))</f>
        <v/>
      </c>
      <c r="F244" s="1" t="str">
        <f aca="false">IF(A244="","",24/PI()*D244)</f>
        <v/>
      </c>
      <c r="H244" s="1" t="n">
        <v>240</v>
      </c>
      <c r="I244" s="1" t="n">
        <f aca="false">0.409*SIN(2*PI()*H244/365-1.39)</f>
        <v>0.159341089421756</v>
      </c>
      <c r="J244" s="1" t="n">
        <f aca="false">ACOS(-TAN(RADIANS(Dashboard!$B$53))*TAN(I244))</f>
        <v>1.61841685709921</v>
      </c>
      <c r="K244" s="1" t="n">
        <f aca="false">(24*60/PI())*0.082*(1+0.033*COS(2*PI()*H244/365))*(J244*SIN(RADIANS(Dashboard!$B$53))*SIN(I244)+COS(RADIANS(Dashboard!$B$53))*COS(I244)*SIN(J244))</f>
        <v>37.589234006565</v>
      </c>
      <c r="L244" s="1" t="n">
        <f aca="false">24/PI()*J244</f>
        <v>12.3637940539483</v>
      </c>
    </row>
    <row r="245" customFormat="false" ht="15" hidden="false" customHeight="true" outlineLevel="0" collapsed="false">
      <c r="A245" s="1" t="str">
        <f aca="false">IF(OR(A244="",A244&gt;=Dashboard!$B$55),"",A244+1)</f>
        <v/>
      </c>
      <c r="B245" s="1" t="str">
        <f aca="false">IF(A245="","",A245-DATE(YEAR(A245),1,0))</f>
        <v/>
      </c>
      <c r="C245" s="1" t="str">
        <f aca="false">IF(A245="","",0.409*SIN(2*PI()*B245/365-1.39))</f>
        <v/>
      </c>
      <c r="D245" s="1" t="str">
        <f aca="false">IF(A245="","",ACOS(-TAN(RADIANS(Dashboard!$B$53))*TAN(C245)))</f>
        <v/>
      </c>
      <c r="E245" s="1" t="str">
        <f aca="false">IF(A245="","",(24*60/PI())*0.082*(1+0.033*COS(2*PI()*B245/365))*(D245*SIN(RADIANS(Dashboard!$B$53))*SIN(C245)+COS(RADIANS(Dashboard!$B$53))*COS(C245)*SIN(D245)))</f>
        <v/>
      </c>
      <c r="F245" s="1" t="str">
        <f aca="false">IF(A245="","",24/PI()*D245)</f>
        <v/>
      </c>
      <c r="H245" s="1" t="n">
        <v>241</v>
      </c>
      <c r="I245" s="1" t="n">
        <f aca="false">0.409*SIN(2*PI()*H245/365-1.39)</f>
        <v>0.152833472186376</v>
      </c>
      <c r="J245" s="1" t="n">
        <f aca="false">ACOS(-TAN(RADIANS(Dashboard!$B$53))*TAN(I245))</f>
        <v>1.61643931842225</v>
      </c>
      <c r="K245" s="1" t="n">
        <f aca="false">(24*60/PI())*0.082*(1+0.033*COS(2*PI()*H245/365))*(J245*SIN(RADIANS(Dashboard!$B$53))*SIN(I245)+COS(RADIANS(Dashboard!$B$53))*COS(I245)*SIN(J245))</f>
        <v>37.5342531118342</v>
      </c>
      <c r="L245" s="1" t="n">
        <f aca="false">24/PI()*J245</f>
        <v>12.3486867712797</v>
      </c>
    </row>
    <row r="246" customFormat="false" ht="15" hidden="false" customHeight="true" outlineLevel="0" collapsed="false">
      <c r="A246" s="1" t="str">
        <f aca="false">IF(OR(A245="",A245&gt;=Dashboard!$B$55),"",A245+1)</f>
        <v/>
      </c>
      <c r="B246" s="1" t="str">
        <f aca="false">IF(A246="","",A246-DATE(YEAR(A246),1,0))</f>
        <v/>
      </c>
      <c r="C246" s="1" t="str">
        <f aca="false">IF(A246="","",0.409*SIN(2*PI()*B246/365-1.39))</f>
        <v/>
      </c>
      <c r="D246" s="1" t="str">
        <f aca="false">IF(A246="","",ACOS(-TAN(RADIANS(Dashboard!$B$53))*TAN(C246)))</f>
        <v/>
      </c>
      <c r="E246" s="1" t="str">
        <f aca="false">IF(A246="","",(24*60/PI())*0.082*(1+0.033*COS(2*PI()*B246/365))*(D246*SIN(RADIANS(Dashboard!$B$53))*SIN(C246)+COS(RADIANS(Dashboard!$B$53))*COS(C246)*SIN(D246)))</f>
        <v/>
      </c>
      <c r="F246" s="1" t="str">
        <f aca="false">IF(A246="","",24/PI()*D246)</f>
        <v/>
      </c>
      <c r="H246" s="1" t="n">
        <v>242</v>
      </c>
      <c r="I246" s="1" t="n">
        <f aca="false">0.409*SIN(2*PI()*H246/365-1.39)</f>
        <v>0.146280567094772</v>
      </c>
      <c r="J246" s="1" t="n">
        <f aca="false">ACOS(-TAN(RADIANS(Dashboard!$B$53))*TAN(I246))</f>
        <v>1.61445219922888</v>
      </c>
      <c r="K246" s="1" t="n">
        <f aca="false">(24*60/PI())*0.082*(1+0.033*COS(2*PI()*H246/365))*(J246*SIN(RADIANS(Dashboard!$B$53))*SIN(I246)+COS(RADIANS(Dashboard!$B$53))*COS(I246)*SIN(J246))</f>
        <v>37.4774211097469</v>
      </c>
      <c r="L246" s="1" t="n">
        <f aca="false">24/PI()*J246</f>
        <v>12.3335062988572</v>
      </c>
    </row>
    <row r="247" customFormat="false" ht="15" hidden="false" customHeight="true" outlineLevel="0" collapsed="false">
      <c r="A247" s="1" t="str">
        <f aca="false">IF(OR(A246="",A246&gt;=Dashboard!$B$55),"",A246+1)</f>
        <v/>
      </c>
      <c r="B247" s="1" t="str">
        <f aca="false">IF(A247="","",A247-DATE(YEAR(A247),1,0))</f>
        <v/>
      </c>
      <c r="C247" s="1" t="str">
        <f aca="false">IF(A247="","",0.409*SIN(2*PI()*B247/365-1.39))</f>
        <v/>
      </c>
      <c r="D247" s="1" t="str">
        <f aca="false">IF(A247="","",ACOS(-TAN(RADIANS(Dashboard!$B$53))*TAN(C247)))</f>
        <v/>
      </c>
      <c r="E247" s="1" t="str">
        <f aca="false">IF(A247="","",(24*60/PI())*0.082*(1+0.033*COS(2*PI()*B247/365))*(D247*SIN(RADIANS(Dashboard!$B$53))*SIN(C247)+COS(RADIANS(Dashboard!$B$53))*COS(C247)*SIN(D247)))</f>
        <v/>
      </c>
      <c r="F247" s="1" t="str">
        <f aca="false">IF(A247="","",24/PI()*D247)</f>
        <v/>
      </c>
      <c r="H247" s="1" t="n">
        <v>243</v>
      </c>
      <c r="I247" s="1" t="n">
        <f aca="false">0.409*SIN(2*PI()*H247/365-1.39)</f>
        <v>0.139684315914143</v>
      </c>
      <c r="J247" s="1" t="n">
        <f aca="false">ACOS(-TAN(RADIANS(Dashboard!$B$53))*TAN(I247))</f>
        <v>1.61245598036574</v>
      </c>
      <c r="K247" s="1" t="n">
        <f aca="false">(24*60/PI())*0.082*(1+0.033*COS(2*PI()*H247/365))*(J247*SIN(RADIANS(Dashboard!$B$53))*SIN(I247)+COS(RADIANS(Dashboard!$B$53))*COS(I247)*SIN(J247))</f>
        <v>37.4187236767653</v>
      </c>
      <c r="L247" s="1" t="n">
        <f aca="false">24/PI()*J247</f>
        <v>12.3182563100782</v>
      </c>
    </row>
    <row r="248" customFormat="false" ht="15" hidden="false" customHeight="true" outlineLevel="0" collapsed="false">
      <c r="A248" s="1" t="str">
        <f aca="false">IF(OR(A247="",A247&gt;=Dashboard!$B$55),"",A247+1)</f>
        <v/>
      </c>
      <c r="B248" s="1" t="str">
        <f aca="false">IF(A248="","",A248-DATE(YEAR(A248),1,0))</f>
        <v/>
      </c>
      <c r="C248" s="1" t="str">
        <f aca="false">IF(A248="","",0.409*SIN(2*PI()*B248/365-1.39))</f>
        <v/>
      </c>
      <c r="D248" s="1" t="str">
        <f aca="false">IF(A248="","",ACOS(-TAN(RADIANS(Dashboard!$B$53))*TAN(C248)))</f>
        <v/>
      </c>
      <c r="E248" s="1" t="str">
        <f aca="false">IF(A248="","",(24*60/PI())*0.082*(1+0.033*COS(2*PI()*B248/365))*(D248*SIN(RADIANS(Dashboard!$B$53))*SIN(C248)+COS(RADIANS(Dashboard!$B$53))*COS(C248)*SIN(D248)))</f>
        <v/>
      </c>
      <c r="F248" s="1" t="str">
        <f aca="false">IF(A248="","",24/PI()*D248)</f>
        <v/>
      </c>
      <c r="H248" s="1" t="n">
        <v>244</v>
      </c>
      <c r="I248" s="1" t="n">
        <f aca="false">0.409*SIN(2*PI()*H248/365-1.39)</f>
        <v>0.133046673256076</v>
      </c>
      <c r="J248" s="1" t="n">
        <f aca="false">ACOS(-TAN(RADIANS(Dashboard!$B$53))*TAN(I248))</f>
        <v>1.61045113625283</v>
      </c>
      <c r="K248" s="1" t="n">
        <f aca="false">(24*60/PI())*0.082*(1+0.033*COS(2*PI()*H248/365))*(J248*SIN(RADIANS(Dashboard!$B$53))*SIN(I248)+COS(RADIANS(Dashboard!$B$53))*COS(I248)*SIN(J248))</f>
        <v>37.3581483169091</v>
      </c>
      <c r="L248" s="1" t="n">
        <f aca="false">24/PI()*J248</f>
        <v>12.3029404292447</v>
      </c>
    </row>
    <row r="249" customFormat="false" ht="15" hidden="false" customHeight="true" outlineLevel="0" collapsed="false">
      <c r="A249" s="1" t="str">
        <f aca="false">IF(OR(A248="",A248&gt;=Dashboard!$B$55),"",A248+1)</f>
        <v/>
      </c>
      <c r="B249" s="1" t="str">
        <f aca="false">IF(A249="","",A249-DATE(YEAR(A249),1,0))</f>
        <v/>
      </c>
      <c r="C249" s="1" t="str">
        <f aca="false">IF(A249="","",0.409*SIN(2*PI()*B249/365-1.39))</f>
        <v/>
      </c>
      <c r="D249" s="1" t="str">
        <f aca="false">IF(A249="","",ACOS(-TAN(RADIANS(Dashboard!$B$53))*TAN(C249)))</f>
        <v/>
      </c>
      <c r="E249" s="1" t="str">
        <f aca="false">IF(A249="","",(24*60/PI())*0.082*(1+0.033*COS(2*PI()*B249/365))*(D249*SIN(RADIANS(Dashboard!$B$53))*SIN(C249)+COS(RADIANS(Dashboard!$B$53))*COS(C249)*SIN(D249)))</f>
        <v/>
      </c>
      <c r="F249" s="1" t="str">
        <f aca="false">IF(A249="","",24/PI()*D249)</f>
        <v/>
      </c>
      <c r="H249" s="1" t="n">
        <v>245</v>
      </c>
      <c r="I249" s="1" t="n">
        <f aca="false">0.409*SIN(2*PI()*H249/365-1.39)</f>
        <v>0.126369605997339</v>
      </c>
      <c r="J249" s="1" t="n">
        <f aca="false">ACOS(-TAN(RADIANS(Dashboard!$B$53))*TAN(I249))</f>
        <v>1.60843813506721</v>
      </c>
      <c r="K249" s="1" t="n">
        <f aca="false">(24*60/PI())*0.082*(1+0.033*COS(2*PI()*H249/365))*(J249*SIN(RADIANS(Dashboard!$B$53))*SIN(I249)+COS(RADIANS(Dashboard!$B$53))*COS(I249)*SIN(J249))</f>
        <v>37.2956844054723</v>
      </c>
      <c r="L249" s="1" t="n">
        <f aca="false">24/PI()*J249</f>
        <v>12.2875622329659</v>
      </c>
    </row>
    <row r="250" customFormat="false" ht="15" hidden="false" customHeight="true" outlineLevel="0" collapsed="false">
      <c r="A250" s="1" t="str">
        <f aca="false">IF(OR(A249="",A249&gt;=Dashboard!$B$55),"",A249+1)</f>
        <v/>
      </c>
      <c r="B250" s="1" t="str">
        <f aca="false">IF(A250="","",A250-DATE(YEAR(A250),1,0))</f>
        <v/>
      </c>
      <c r="C250" s="1" t="str">
        <f aca="false">IF(A250="","",0.409*SIN(2*PI()*B250/365-1.39))</f>
        <v/>
      </c>
      <c r="D250" s="1" t="str">
        <f aca="false">IF(A250="","",ACOS(-TAN(RADIANS(Dashboard!$B$53))*TAN(C250)))</f>
        <v/>
      </c>
      <c r="E250" s="1" t="str">
        <f aca="false">IF(A250="","",(24*60/PI())*0.082*(1+0.033*COS(2*PI()*B250/365))*(D250*SIN(RADIANS(Dashboard!$B$53))*SIN(C250)+COS(RADIANS(Dashboard!$B$53))*COS(C250)*SIN(D250)))</f>
        <v/>
      </c>
      <c r="F250" s="1" t="str">
        <f aca="false">IF(A250="","",24/PI()*D250)</f>
        <v/>
      </c>
      <c r="H250" s="1" t="n">
        <v>246</v>
      </c>
      <c r="I250" s="1" t="n">
        <f aca="false">0.409*SIN(2*PI()*H250/365-1.39)</f>
        <v>0.119655092697067</v>
      </c>
      <c r="J250" s="1" t="n">
        <f aca="false">ACOS(-TAN(RADIANS(Dashboard!$B$53))*TAN(I250))</f>
        <v>1.60641743894417</v>
      </c>
      <c r="K250" s="1" t="n">
        <f aca="false">(24*60/PI())*0.082*(1+0.033*COS(2*PI()*H250/365))*(J250*SIN(RADIANS(Dashboard!$B$53))*SIN(I250)+COS(RADIANS(Dashboard!$B$53))*COS(I250)*SIN(J250))</f>
        <v>37.2313232303498</v>
      </c>
      <c r="L250" s="1" t="n">
        <f aca="false">24/PI()*J250</f>
        <v>12.2721252516954</v>
      </c>
    </row>
    <row r="251" customFormat="false" ht="15" hidden="false" customHeight="true" outlineLevel="0" collapsed="false">
      <c r="A251" s="1" t="str">
        <f aca="false">IF(OR(A250="",A250&gt;=Dashboard!$B$55),"",A250+1)</f>
        <v/>
      </c>
      <c r="B251" s="1" t="str">
        <f aca="false">IF(A251="","",A251-DATE(YEAR(A251),1,0))</f>
        <v/>
      </c>
      <c r="C251" s="1" t="str">
        <f aca="false">IF(A251="","",0.409*SIN(2*PI()*B251/365-1.39))</f>
        <v/>
      </c>
      <c r="D251" s="1" t="str">
        <f aca="false">IF(A251="","",ACOS(-TAN(RADIANS(Dashboard!$B$53))*TAN(C251)))</f>
        <v/>
      </c>
      <c r="E251" s="1" t="str">
        <f aca="false">IF(A251="","",(24*60/PI())*0.082*(1+0.033*COS(2*PI()*B251/365))*(D251*SIN(RADIANS(Dashboard!$B$53))*SIN(C251)+COS(RADIANS(Dashboard!$B$53))*COS(C251)*SIN(D251)))</f>
        <v/>
      </c>
      <c r="F251" s="1" t="str">
        <f aca="false">IF(A251="","",24/PI()*D251)</f>
        <v/>
      </c>
      <c r="H251" s="1" t="n">
        <v>247</v>
      </c>
      <c r="I251" s="1" t="n">
        <f aca="false">0.409*SIN(2*PI()*H251/365-1.39)</f>
        <v>0.11290512301046</v>
      </c>
      <c r="J251" s="1" t="n">
        <f aca="false">ACOS(-TAN(RADIANS(Dashboard!$B$53))*TAN(I251))</f>
        <v>1.60438950419509</v>
      </c>
      <c r="K251" s="1" t="n">
        <f aca="false">(24*60/PI())*0.082*(1+0.033*COS(2*PI()*H251/365))*(J251*SIN(RADIANS(Dashboard!$B$53))*SIN(I251)+COS(RADIANS(Dashboard!$B$53))*COS(I251)*SIN(J251))</f>
        <v>37.1650580308921</v>
      </c>
      <c r="L251" s="1" t="n">
        <f aca="false">24/PI()*J251</f>
        <v>12.2566329713954</v>
      </c>
    </row>
    <row r="252" customFormat="false" ht="15" hidden="false" customHeight="true" outlineLevel="0" collapsed="false">
      <c r="A252" s="1" t="str">
        <f aca="false">IF(OR(A251="",A251&gt;=Dashboard!$B$55),"",A251+1)</f>
        <v/>
      </c>
      <c r="B252" s="1" t="str">
        <f aca="false">IF(A252="","",A252-DATE(YEAR(A252),1,0))</f>
        <v/>
      </c>
      <c r="C252" s="1" t="str">
        <f aca="false">IF(A252="","",0.409*SIN(2*PI()*B252/365-1.39))</f>
        <v/>
      </c>
      <c r="D252" s="1" t="str">
        <f aca="false">IF(A252="","",ACOS(-TAN(RADIANS(Dashboard!$B$53))*TAN(C252)))</f>
        <v/>
      </c>
      <c r="E252" s="1" t="str">
        <f aca="false">IF(A252="","",(24*60/PI())*0.082*(1+0.033*COS(2*PI()*B252/365))*(D252*SIN(RADIANS(Dashboard!$B$53))*SIN(C252)+COS(RADIANS(Dashboard!$B$53))*COS(C252)*SIN(D252)))</f>
        <v/>
      </c>
      <c r="F252" s="1" t="str">
        <f aca="false">IF(A252="","",24/PI()*D252)</f>
        <v/>
      </c>
      <c r="H252" s="1" t="n">
        <v>248</v>
      </c>
      <c r="I252" s="1" t="n">
        <f aca="false">0.409*SIN(2*PI()*H252/365-1.39)</f>
        <v>0.106121697099213</v>
      </c>
      <c r="J252" s="1" t="n">
        <f aca="false">ACOS(-TAN(RADIANS(Dashboard!$B$53))*TAN(I252))</f>
        <v>1.60235478154096</v>
      </c>
      <c r="K252" s="1" t="n">
        <f aca="false">(24*60/PI())*0.082*(1+0.033*COS(2*PI()*H252/365))*(J252*SIN(RADIANS(Dashboard!$B$53))*SIN(I252)+COS(RADIANS(Dashboard!$B$53))*COS(I252)*SIN(J252))</f>
        <v>37.0968840342082</v>
      </c>
      <c r="L252" s="1" t="n">
        <f aca="false">24/PI()*J252</f>
        <v>12.2410888353205</v>
      </c>
    </row>
    <row r="253" customFormat="false" ht="15" hidden="false" customHeight="true" outlineLevel="0" collapsed="false">
      <c r="A253" s="1" t="str">
        <f aca="false">IF(OR(A252="",A252&gt;=Dashboard!$B$55),"",A252+1)</f>
        <v/>
      </c>
      <c r="B253" s="1" t="str">
        <f aca="false">IF(A253="","",A253-DATE(YEAR(A253),1,0))</f>
        <v/>
      </c>
      <c r="C253" s="1" t="str">
        <f aca="false">IF(A253="","",0.409*SIN(2*PI()*B253/365-1.39))</f>
        <v/>
      </c>
      <c r="D253" s="1" t="str">
        <f aca="false">IF(A253="","",ACOS(-TAN(RADIANS(Dashboard!$B$53))*TAN(C253)))</f>
        <v/>
      </c>
      <c r="E253" s="1" t="str">
        <f aca="false">IF(A253="","",(24*60/PI())*0.082*(1+0.033*COS(2*PI()*B253/365))*(D253*SIN(RADIANS(Dashboard!$B$53))*SIN(C253)+COS(RADIANS(Dashboard!$B$53))*COS(C253)*SIN(D253)))</f>
        <v/>
      </c>
      <c r="F253" s="1" t="str">
        <f aca="false">IF(A253="","",24/PI()*D253)</f>
        <v/>
      </c>
      <c r="H253" s="1" t="n">
        <v>249</v>
      </c>
      <c r="I253" s="1" t="n">
        <f aca="false">0.409*SIN(2*PI()*H253/365-1.39)</f>
        <v>0.099306825038821</v>
      </c>
      <c r="J253" s="1" t="n">
        <f aca="false">ACOS(-TAN(RADIANS(Dashboard!$B$53))*TAN(I253))</f>
        <v>1.60031371636059</v>
      </c>
      <c r="K253" s="1" t="n">
        <f aca="false">(24*60/PI())*0.082*(1+0.033*COS(2*PI()*H253/365))*(J253*SIN(RADIANS(Dashboard!$B$53))*SIN(I253)+COS(RADIANS(Dashboard!$B$53))*COS(I253)*SIN(J253))</f>
        <v>37.0267984888412</v>
      </c>
      <c r="L253" s="1" t="n">
        <f aca="false">24/PI()*J253</f>
        <v>12.2254962459143</v>
      </c>
    </row>
    <row r="254" customFormat="false" ht="15" hidden="false" customHeight="true" outlineLevel="0" collapsed="false">
      <c r="A254" s="1" t="str">
        <f aca="false">IF(OR(A253="",A253&gt;=Dashboard!$B$55),"",A253+1)</f>
        <v/>
      </c>
      <c r="B254" s="1" t="str">
        <f aca="false">IF(A254="","",A254-DATE(YEAR(A254),1,0))</f>
        <v/>
      </c>
      <c r="C254" s="1" t="str">
        <f aca="false">IF(A254="","",0.409*SIN(2*PI()*B254/365-1.39))</f>
        <v/>
      </c>
      <c r="D254" s="1" t="str">
        <f aca="false">IF(A254="","",ACOS(-TAN(RADIANS(Dashboard!$B$53))*TAN(C254)))</f>
        <v/>
      </c>
      <c r="E254" s="1" t="str">
        <f aca="false">IF(A254="","",(24*60/PI())*0.082*(1+0.033*COS(2*PI()*B254/365))*(D254*SIN(RADIANS(Dashboard!$B$53))*SIN(C254)+COS(RADIANS(Dashboard!$B$53))*COS(C254)*SIN(D254)))</f>
        <v/>
      </c>
      <c r="F254" s="1" t="str">
        <f aca="false">IF(A254="","",24/PI()*D254)</f>
        <v/>
      </c>
      <c r="H254" s="1" t="n">
        <v>250</v>
      </c>
      <c r="I254" s="1" t="n">
        <f aca="false">0.409*SIN(2*PI()*H254/365-1.39)</f>
        <v>0.0924625262229539</v>
      </c>
      <c r="J254" s="1" t="n">
        <f aca="false">ACOS(-TAN(RADIANS(Dashboard!$B$53))*TAN(I254))</f>
        <v>1.59826674895274</v>
      </c>
      <c r="K254" s="1" t="n">
        <f aca="false">(24*60/PI())*0.082*(1+0.033*COS(2*PI()*H254/365))*(J254*SIN(RADIANS(Dashboard!$B$53))*SIN(I254)+COS(RADIANS(Dashboard!$B$53))*COS(I254)*SIN(J254))</f>
        <v>36.9548006957471</v>
      </c>
      <c r="L254" s="1" t="n">
        <f aca="false">24/PI()*J254</f>
        <v>12.2098585668116</v>
      </c>
    </row>
    <row r="255" customFormat="false" ht="15" hidden="false" customHeight="true" outlineLevel="0" collapsed="false">
      <c r="A255" s="1" t="str">
        <f aca="false">IF(OR(A254="",A254&gt;=Dashboard!$B$55),"",A254+1)</f>
        <v/>
      </c>
      <c r="B255" s="1" t="str">
        <f aca="false">IF(A255="","",A255-DATE(YEAR(A255),1,0))</f>
        <v/>
      </c>
      <c r="C255" s="1" t="str">
        <f aca="false">IF(A255="","",0.409*SIN(2*PI()*B255/365-1.39))</f>
        <v/>
      </c>
      <c r="D255" s="1" t="str">
        <f aca="false">IF(A255="","",ACOS(-TAN(RADIANS(Dashboard!$B$53))*TAN(C255)))</f>
        <v/>
      </c>
      <c r="E255" s="1" t="str">
        <f aca="false">IF(A255="","",(24*60/PI())*0.082*(1+0.033*COS(2*PI()*B255/365))*(D255*SIN(RADIANS(Dashboard!$B$53))*SIN(C255)+COS(RADIANS(Dashboard!$B$53))*COS(C255)*SIN(D255)))</f>
        <v/>
      </c>
      <c r="F255" s="1" t="str">
        <f aca="false">IF(A255="","",24/PI()*D255)</f>
        <v/>
      </c>
      <c r="H255" s="1" t="n">
        <v>251</v>
      </c>
      <c r="I255" s="1" t="n">
        <f aca="false">0.409*SIN(2*PI()*H255/365-1.39)</f>
        <v>0.0855908287650614</v>
      </c>
      <c r="J255" s="1" t="n">
        <f aca="false">ACOS(-TAN(RADIANS(Dashboard!$B$53))*TAN(I255))</f>
        <v>1.59621431481111</v>
      </c>
      <c r="K255" s="1" t="n">
        <f aca="false">(24*60/PI())*0.082*(1+0.033*COS(2*PI()*H255/365))*(J255*SIN(RADIANS(Dashboard!$B$53))*SIN(I255)+COS(RADIANS(Dashboard!$B$53))*COS(I255)*SIN(J255))</f>
        <v>36.8808920365106</v>
      </c>
      <c r="L255" s="1" t="n">
        <f aca="false">24/PI()*J255</f>
        <v>12.1941791249391</v>
      </c>
    </row>
    <row r="256" customFormat="false" ht="15" hidden="false" customHeight="true" outlineLevel="0" collapsed="false">
      <c r="A256" s="1" t="str">
        <f aca="false">IF(OR(A255="",A255&gt;=Dashboard!$B$55),"",A255+1)</f>
        <v/>
      </c>
      <c r="B256" s="1" t="str">
        <f aca="false">IF(A256="","",A256-DATE(YEAR(A256),1,0))</f>
        <v/>
      </c>
      <c r="C256" s="1" t="str">
        <f aca="false">IF(A256="","",0.409*SIN(2*PI()*B256/365-1.39))</f>
        <v/>
      </c>
      <c r="D256" s="1" t="str">
        <f aca="false">IF(A256="","",ACOS(-TAN(RADIANS(Dashboard!$B$53))*TAN(C256)))</f>
        <v/>
      </c>
      <c r="E256" s="1" t="str">
        <f aca="false">IF(A256="","",(24*60/PI())*0.082*(1+0.033*COS(2*PI()*B256/365))*(D256*SIN(RADIANS(Dashboard!$B$53))*SIN(C256)+COS(RADIANS(Dashboard!$B$53))*COS(C256)*SIN(D256)))</f>
        <v/>
      </c>
      <c r="F256" s="1" t="str">
        <f aca="false">IF(A256="","",24/PI()*D256)</f>
        <v/>
      </c>
      <c r="H256" s="1" t="n">
        <v>252</v>
      </c>
      <c r="I256" s="1" t="n">
        <f aca="false">0.409*SIN(2*PI()*H256/365-1.39)</f>
        <v>0.0786937688974052</v>
      </c>
      <c r="J256" s="1" t="n">
        <f aca="false">ACOS(-TAN(RADIANS(Dashboard!$B$53))*TAN(I256))</f>
        <v>1.59415684491131</v>
      </c>
      <c r="K256" s="1" t="n">
        <f aca="false">(24*60/PI())*0.082*(1+0.033*COS(2*PI()*H256/365))*(J256*SIN(RADIANS(Dashboard!$B$53))*SIN(I256)+COS(RADIANS(Dashboard!$B$53))*COS(I256)*SIN(J256))</f>
        <v>36.8050759987362</v>
      </c>
      <c r="L256" s="1" t="n">
        <f aca="false">24/PI()*J256</f>
        <v>12.1784612127079</v>
      </c>
    </row>
    <row r="257" customFormat="false" ht="15" hidden="false" customHeight="true" outlineLevel="0" collapsed="false">
      <c r="A257" s="1" t="str">
        <f aca="false">IF(OR(A256="",A256&gt;=Dashboard!$B$55),"",A256+1)</f>
        <v/>
      </c>
      <c r="B257" s="1" t="str">
        <f aca="false">IF(A257="","",A257-DATE(YEAR(A257),1,0))</f>
        <v/>
      </c>
      <c r="C257" s="1" t="str">
        <f aca="false">IF(A257="","",0.409*SIN(2*PI()*B257/365-1.39))</f>
        <v/>
      </c>
      <c r="D257" s="1" t="str">
        <f aca="false">IF(A257="","",ACOS(-TAN(RADIANS(Dashboard!$B$53))*TAN(C257)))</f>
        <v/>
      </c>
      <c r="E257" s="1" t="str">
        <f aca="false">IF(A257="","",(24*60/PI())*0.082*(1+0.033*COS(2*PI()*B257/365))*(D257*SIN(RADIANS(Dashboard!$B$53))*SIN(C257)+COS(RADIANS(Dashboard!$B$53))*COS(C257)*SIN(D257)))</f>
        <v/>
      </c>
      <c r="F257" s="1" t="str">
        <f aca="false">IF(A257="","",24/PI()*D257)</f>
        <v/>
      </c>
      <c r="H257" s="1" t="n">
        <v>253</v>
      </c>
      <c r="I257" s="1" t="n">
        <f aca="false">0.409*SIN(2*PI()*H257/365-1.39)</f>
        <v>0.0717733903676737</v>
      </c>
      <c r="J257" s="1" t="n">
        <f aca="false">ACOS(-TAN(RADIANS(Dashboard!$B$53))*TAN(I257))</f>
        <v>1.592094766009</v>
      </c>
      <c r="K257" s="1" t="n">
        <f aca="false">(24*60/PI())*0.082*(1+0.033*COS(2*PI()*H257/365))*(J257*SIN(RADIANS(Dashboard!$B$53))*SIN(I257)+COS(RADIANS(Dashboard!$B$53))*COS(I257)*SIN(J257))</f>
        <v>36.7273581985604</v>
      </c>
      <c r="L257" s="1" t="n">
        <f aca="false">24/PI()*J257</f>
        <v>12.1627080902912</v>
      </c>
    </row>
    <row r="258" customFormat="false" ht="15" hidden="false" customHeight="true" outlineLevel="0" collapsed="false">
      <c r="A258" s="1" t="str">
        <f aca="false">IF(OR(A257="",A257&gt;=Dashboard!$B$55),"",A257+1)</f>
        <v/>
      </c>
      <c r="B258" s="1" t="str">
        <f aca="false">IF(A258="","",A258-DATE(YEAR(A258),1,0))</f>
        <v/>
      </c>
      <c r="C258" s="1" t="str">
        <f aca="false">IF(A258="","",0.409*SIN(2*PI()*B258/365-1.39))</f>
        <v/>
      </c>
      <c r="D258" s="1" t="str">
        <f aca="false">IF(A258="","",ACOS(-TAN(RADIANS(Dashboard!$B$53))*TAN(C258)))</f>
        <v/>
      </c>
      <c r="E258" s="1" t="str">
        <f aca="false">IF(A258="","",(24*60/PI())*0.082*(1+0.033*COS(2*PI()*B258/365))*(D258*SIN(RADIANS(Dashboard!$B$53))*SIN(C258)+COS(RADIANS(Dashboard!$B$53))*COS(C258)*SIN(D258)))</f>
        <v/>
      </c>
      <c r="F258" s="1" t="str">
        <f aca="false">IF(A258="","",24/PI()*D258)</f>
        <v/>
      </c>
      <c r="H258" s="1" t="n">
        <v>254</v>
      </c>
      <c r="I258" s="1" t="n">
        <f aca="false">0.409*SIN(2*PI()*H258/365-1.39)</f>
        <v>0.06483174383338</v>
      </c>
      <c r="J258" s="1" t="n">
        <f aca="false">ACOS(-TAN(RADIANS(Dashboard!$B$53))*TAN(I258))</f>
        <v>1.59002850094819</v>
      </c>
      <c r="K258" s="1" t="n">
        <f aca="false">(24*60/PI())*0.082*(1+0.033*COS(2*PI()*H258/365))*(J258*SIN(RADIANS(Dashboard!$B$53))*SIN(I258)+COS(RADIANS(Dashboard!$B$53))*COS(I258)*SIN(J258))</f>
        <v>36.6477464002333</v>
      </c>
      <c r="L258" s="1" t="n">
        <f aca="false">24/PI()*J258</f>
        <v>12.1469229879793</v>
      </c>
    </row>
    <row r="259" customFormat="false" ht="15" hidden="false" customHeight="true" outlineLevel="0" collapsed="false">
      <c r="A259" s="1" t="str">
        <f aca="false">IF(OR(A258="",A258&gt;=Dashboard!$B$55),"",A258+1)</f>
        <v/>
      </c>
      <c r="B259" s="1" t="str">
        <f aca="false">IF(A259="","",A259-DATE(YEAR(A259),1,0))</f>
        <v/>
      </c>
      <c r="C259" s="1" t="str">
        <f aca="false">IF(A259="","",0.409*SIN(2*PI()*B259/365-1.39))</f>
        <v/>
      </c>
      <c r="D259" s="1" t="str">
        <f aca="false">IF(A259="","",ACOS(-TAN(RADIANS(Dashboard!$B$53))*TAN(C259)))</f>
        <v/>
      </c>
      <c r="E259" s="1" t="str">
        <f aca="false">IF(A259="","",(24*60/PI())*0.082*(1+0.033*COS(2*PI()*B259/365))*(D259*SIN(RADIANS(Dashboard!$B$53))*SIN(C259)+COS(RADIANS(Dashboard!$B$53))*COS(C259)*SIN(D259)))</f>
        <v/>
      </c>
      <c r="F259" s="1" t="str">
        <f aca="false">IF(A259="","",24/PI()*D259)</f>
        <v/>
      </c>
      <c r="H259" s="1" t="n">
        <v>255</v>
      </c>
      <c r="I259" s="1" t="n">
        <f aca="false">0.409*SIN(2*PI()*H259/365-1.39)</f>
        <v>0.0578708862542045</v>
      </c>
      <c r="J259" s="1" t="n">
        <f aca="false">ACOS(-TAN(RADIANS(Dashboard!$B$53))*TAN(I259))</f>
        <v>1.58795846897893</v>
      </c>
      <c r="K259" s="1" t="n">
        <f aca="false">(24*60/PI())*0.082*(1+0.033*COS(2*PI()*H259/365))*(J259*SIN(RADIANS(Dashboard!$B$53))*SIN(I259)+COS(RADIANS(Dashboard!$B$53))*COS(I259)*SIN(J259))</f>
        <v>36.5662505327257</v>
      </c>
      <c r="L259" s="1" t="n">
        <f aca="false">24/PI()*J259</f>
        <v>12.1311091086065</v>
      </c>
    </row>
    <row r="260" customFormat="false" ht="15" hidden="false" customHeight="true" outlineLevel="0" collapsed="false">
      <c r="A260" s="1" t="str">
        <f aca="false">IF(OR(A259="",A259&gt;=Dashboard!$B$55),"",A259+1)</f>
        <v/>
      </c>
      <c r="B260" s="1" t="str">
        <f aca="false">IF(A260="","",A260-DATE(YEAR(A260),1,0))</f>
        <v/>
      </c>
      <c r="C260" s="1" t="str">
        <f aca="false">IF(A260="","",0.409*SIN(2*PI()*B260/365-1.39))</f>
        <v/>
      </c>
      <c r="D260" s="1" t="str">
        <f aca="false">IF(A260="","",ACOS(-TAN(RADIANS(Dashboard!$B$53))*TAN(C260)))</f>
        <v/>
      </c>
      <c r="E260" s="1" t="str">
        <f aca="false">IF(A260="","",(24*60/PI())*0.082*(1+0.033*COS(2*PI()*B260/365))*(D260*SIN(RADIANS(Dashboard!$B$53))*SIN(C260)+COS(RADIANS(Dashboard!$B$53))*COS(C260)*SIN(D260)))</f>
        <v/>
      </c>
      <c r="F260" s="1" t="str">
        <f aca="false">IF(A260="","",24/PI()*D260)</f>
        <v/>
      </c>
      <c r="H260" s="1" t="n">
        <v>256</v>
      </c>
      <c r="I260" s="1" t="n">
        <f aca="false">0.409*SIN(2*PI()*H260/365-1.39)</f>
        <v>0.0508928802824762</v>
      </c>
      <c r="J260" s="1" t="n">
        <f aca="false">ACOS(-TAN(RADIANS(Dashboard!$B$53))*TAN(I260))</f>
        <v>1.58588508608343</v>
      </c>
      <c r="K260" s="1" t="n">
        <f aca="false">(24*60/PI())*0.082*(1+0.033*COS(2*PI()*H260/365))*(J260*SIN(RADIANS(Dashboard!$B$53))*SIN(I260)+COS(RADIANS(Dashboard!$B$53))*COS(I260)*SIN(J260))</f>
        <v>36.4828827033205</v>
      </c>
      <c r="L260" s="1" t="n">
        <f aca="false">24/PI()*J260</f>
        <v>12.1152696300429</v>
      </c>
    </row>
    <row r="261" customFormat="false" ht="15" hidden="false" customHeight="true" outlineLevel="0" collapsed="false">
      <c r="A261" s="1" t="str">
        <f aca="false">IF(OR(A260="",A260&gt;=Dashboard!$B$55),"",A260+1)</f>
        <v/>
      </c>
      <c r="B261" s="1" t="str">
        <f aca="false">IF(A261="","",A261-DATE(YEAR(A261),1,0))</f>
        <v/>
      </c>
      <c r="C261" s="1" t="str">
        <f aca="false">IF(A261="","",0.409*SIN(2*PI()*B261/365-1.39))</f>
        <v/>
      </c>
      <c r="D261" s="1" t="str">
        <f aca="false">IF(A261="","",ACOS(-TAN(RADIANS(Dashboard!$B$53))*TAN(C261)))</f>
        <v/>
      </c>
      <c r="E261" s="1" t="str">
        <f aca="false">IF(A261="","",(24*60/PI())*0.082*(1+0.033*COS(2*PI()*B261/365))*(D261*SIN(RADIANS(Dashboard!$B$53))*SIN(C261)+COS(RADIANS(Dashboard!$B$53))*COS(C261)*SIN(D261)))</f>
        <v/>
      </c>
      <c r="F261" s="1" t="str">
        <f aca="false">IF(A261="","",24/PI()*D261)</f>
        <v/>
      </c>
      <c r="H261" s="1" t="n">
        <v>257</v>
      </c>
      <c r="I261" s="1" t="n">
        <f aca="false">0.409*SIN(2*PI()*H261/365-1.39)</f>
        <v>0.0438997936519615</v>
      </c>
      <c r="J261" s="1" t="n">
        <f aca="false">ACOS(-TAN(RADIANS(Dashboard!$B$53))*TAN(I261))</f>
        <v>1.58380876530982</v>
      </c>
      <c r="K261" s="1" t="n">
        <f aca="false">(24*60/PI())*0.082*(1+0.033*COS(2*PI()*H261/365))*(J261*SIN(RADIANS(Dashboard!$B$53))*SIN(I261)+COS(RADIANS(Dashboard!$B$53))*COS(I261)*SIN(J261))</f>
        <v>36.3976572081575</v>
      </c>
      <c r="L261" s="1" t="n">
        <f aca="false">24/PI()*J261</f>
        <v>12.0994077077438</v>
      </c>
    </row>
    <row r="262" customFormat="false" ht="15" hidden="false" customHeight="true" outlineLevel="0" collapsed="false">
      <c r="A262" s="1" t="str">
        <f aca="false">IF(OR(A261="",A261&gt;=Dashboard!$B$55),"",A261+1)</f>
        <v/>
      </c>
      <c r="B262" s="1" t="str">
        <f aca="false">IF(A262="","",A262-DATE(YEAR(A262),1,0))</f>
        <v/>
      </c>
      <c r="C262" s="1" t="str">
        <f aca="false">IF(A262="","",0.409*SIN(2*PI()*B262/365-1.39))</f>
        <v/>
      </c>
      <c r="D262" s="1" t="str">
        <f aca="false">IF(A262="","",ACOS(-TAN(RADIANS(Dashboard!$B$53))*TAN(C262)))</f>
        <v/>
      </c>
      <c r="E262" s="1" t="str">
        <f aca="false">IF(A262="","",(24*60/PI())*0.082*(1+0.033*COS(2*PI()*B262/365))*(D262*SIN(RADIANS(Dashboard!$B$53))*SIN(C262)+COS(RADIANS(Dashboard!$B$53))*COS(C262)*SIN(D262)))</f>
        <v/>
      </c>
      <c r="F262" s="1" t="str">
        <f aca="false">IF(A262="","",24/PI()*D262)</f>
        <v/>
      </c>
      <c r="H262" s="1" t="n">
        <v>258</v>
      </c>
      <c r="I262" s="1" t="n">
        <f aca="false">0.409*SIN(2*PI()*H262/365-1.39)</f>
        <v>0.036893698565153</v>
      </c>
      <c r="J262" s="1" t="n">
        <f aca="false">ACOS(-TAN(RADIANS(Dashboard!$B$53))*TAN(I262))</f>
        <v>1.58172991711268</v>
      </c>
      <c r="K262" s="1" t="n">
        <f aca="false">(24*60/PI())*0.082*(1+0.033*COS(2*PI()*H262/365))*(J262*SIN(RADIANS(Dashboard!$B$53))*SIN(I262)+COS(RADIANS(Dashboard!$B$53))*COS(I262)*SIN(J262))</f>
        <v>36.3105905397004</v>
      </c>
      <c r="L262" s="1" t="n">
        <f aca="false">24/PI()*J262</f>
        <v>12.0835264773512</v>
      </c>
    </row>
    <row r="263" customFormat="false" ht="15" hidden="false" customHeight="true" outlineLevel="0" collapsed="false">
      <c r="A263" s="1" t="str">
        <f aca="false">IF(OR(A262="",A262&gt;=Dashboard!$B$55),"",A262+1)</f>
        <v/>
      </c>
      <c r="B263" s="1" t="str">
        <f aca="false">IF(A263="","",A263-DATE(YEAR(A263),1,0))</f>
        <v/>
      </c>
      <c r="C263" s="1" t="str">
        <f aca="false">IF(A263="","",0.409*SIN(2*PI()*B263/365-1.39))</f>
        <v/>
      </c>
      <c r="D263" s="1" t="str">
        <f aca="false">IF(A263="","",ACOS(-TAN(RADIANS(Dashboard!$B$53))*TAN(C263)))</f>
        <v/>
      </c>
      <c r="E263" s="1" t="str">
        <f aca="false">IF(A263="","",(24*60/PI())*0.082*(1+0.033*COS(2*PI()*B263/365))*(D263*SIN(RADIANS(Dashboard!$B$53))*SIN(C263)+COS(RADIANS(Dashboard!$B$53))*COS(C263)*SIN(D263)))</f>
        <v/>
      </c>
      <c r="F263" s="1" t="str">
        <f aca="false">IF(A263="","",24/PI()*D263)</f>
        <v/>
      </c>
      <c r="H263" s="1" t="n">
        <v>259</v>
      </c>
      <c r="I263" s="1" t="n">
        <f aca="false">0.409*SIN(2*PI()*H263/365-1.39)</f>
        <v>0.029876671079228</v>
      </c>
      <c r="J263" s="1" t="n">
        <f aca="false">ACOS(-TAN(RADIANS(Dashboard!$B$53))*TAN(I263))</f>
        <v>1.5796489496995</v>
      </c>
      <c r="K263" s="1" t="n">
        <f aca="false">(24*60/PI())*0.082*(1+0.033*COS(2*PI()*H263/365))*(J263*SIN(RADIANS(Dashboard!$B$53))*SIN(I263)+COS(RADIANS(Dashboard!$B$53))*COS(I263)*SIN(J263))</f>
        <v>36.221701391107</v>
      </c>
      <c r="L263" s="1" t="n">
        <f aca="false">24/PI()*J263</f>
        <v>12.0676290573407</v>
      </c>
    </row>
    <row r="264" customFormat="false" ht="15" hidden="false" customHeight="true" outlineLevel="0" collapsed="false">
      <c r="A264" s="1" t="str">
        <f aca="false">IF(OR(A263="",A263&gt;=Dashboard!$B$55),"",A263+1)</f>
        <v/>
      </c>
      <c r="B264" s="1" t="str">
        <f aca="false">IF(A264="","",A264-DATE(YEAR(A264),1,0))</f>
        <v/>
      </c>
      <c r="C264" s="1" t="str">
        <f aca="false">IF(A264="","",0.409*SIN(2*PI()*B264/365-1.39))</f>
        <v/>
      </c>
      <c r="D264" s="1" t="str">
        <f aca="false">IF(A264="","",ACOS(-TAN(RADIANS(Dashboard!$B$53))*TAN(C264)))</f>
        <v/>
      </c>
      <c r="E264" s="1" t="str">
        <f aca="false">IF(A264="","",(24*60/PI())*0.082*(1+0.033*COS(2*PI()*B264/365))*(D264*SIN(RADIANS(Dashboard!$B$53))*SIN(C264)+COS(RADIANS(Dashboard!$B$53))*COS(C264)*SIN(D264)))</f>
        <v/>
      </c>
      <c r="F264" s="1" t="str">
        <f aca="false">IF(A264="","",24/PI()*D264)</f>
        <v/>
      </c>
      <c r="H264" s="1" t="n">
        <v>260</v>
      </c>
      <c r="I264" s="1" t="n">
        <f aca="false">0.409*SIN(2*PI()*H264/365-1.39)</f>
        <v>0.0228507904908712</v>
      </c>
      <c r="J264" s="1" t="n">
        <f aca="false">ACOS(-TAN(RADIANS(Dashboard!$B$53))*TAN(I264))</f>
        <v>1.57756626938219</v>
      </c>
      <c r="K264" s="1" t="n">
        <f aca="false">(24*60/PI())*0.082*(1+0.033*COS(2*PI()*H264/365))*(J264*SIN(RADIANS(Dashboard!$B$53))*SIN(I264)+COS(RADIANS(Dashboard!$B$53))*COS(I264)*SIN(J264))</f>
        <v>36.1310106574848</v>
      </c>
      <c r="L264" s="1" t="n">
        <f aca="false">24/PI()*J264</f>
        <v>12.0517185517064</v>
      </c>
    </row>
    <row r="265" customFormat="false" ht="15" hidden="false" customHeight="true" outlineLevel="0" collapsed="false">
      <c r="A265" s="1" t="str">
        <f aca="false">IF(OR(A264="",A264&gt;=Dashboard!$B$55),"",A264+1)</f>
        <v/>
      </c>
      <c r="B265" s="1" t="str">
        <f aca="false">IF(A265="","",A265-DATE(YEAR(A265),1,0))</f>
        <v/>
      </c>
      <c r="C265" s="1" t="str">
        <f aca="false">IF(A265="","",0.409*SIN(2*PI()*B265/365-1.39))</f>
        <v/>
      </c>
      <c r="D265" s="1" t="str">
        <f aca="false">IF(A265="","",ACOS(-TAN(RADIANS(Dashboard!$B$53))*TAN(C265)))</f>
        <v/>
      </c>
      <c r="E265" s="1" t="str">
        <f aca="false">IF(A265="","",(24*60/PI())*0.082*(1+0.033*COS(2*PI()*B265/365))*(D265*SIN(RADIANS(Dashboard!$B$53))*SIN(C265)+COS(RADIANS(Dashboard!$B$53))*COS(C265)*SIN(D265)))</f>
        <v/>
      </c>
      <c r="F265" s="1" t="str">
        <f aca="false">IF(A265="","",24/PI()*D265)</f>
        <v/>
      </c>
      <c r="H265" s="1" t="n">
        <v>261</v>
      </c>
      <c r="I265" s="1" t="n">
        <f aca="false">0.409*SIN(2*PI()*H265/365-1.39)</f>
        <v>0.0158181387201312</v>
      </c>
      <c r="J265" s="1" t="n">
        <f aca="false">ACOS(-TAN(RADIANS(Dashboard!$B$53))*TAN(I265))</f>
        <v>1.57548228093289</v>
      </c>
      <c r="K265" s="1" t="n">
        <f aca="false">(24*60/PI())*0.082*(1+0.033*COS(2*PI()*H265/365))*(J265*SIN(RADIANS(Dashboard!$B$53))*SIN(I265)+COS(RADIANS(Dashboard!$B$53))*COS(I265)*SIN(J265))</f>
        <v>36.0385414340231</v>
      </c>
      <c r="L265" s="1" t="n">
        <f aca="false">24/PI()*J265</f>
        <v>12.0357980526799</v>
      </c>
    </row>
    <row r="266" customFormat="false" ht="15" hidden="false" customHeight="true" outlineLevel="0" collapsed="false">
      <c r="A266" s="1" t="str">
        <f aca="false">IF(OR(A265="",A265&gt;=Dashboard!$B$55),"",A265+1)</f>
        <v/>
      </c>
      <c r="B266" s="1" t="str">
        <f aca="false">IF(A266="","",A266-DATE(YEAR(A266),1,0))</f>
        <v/>
      </c>
      <c r="C266" s="1" t="str">
        <f aca="false">IF(A266="","",0.409*SIN(2*PI()*B266/365-1.39))</f>
        <v/>
      </c>
      <c r="D266" s="1" t="str">
        <f aca="false">IF(A266="","",ACOS(-TAN(RADIANS(Dashboard!$B$53))*TAN(C266)))</f>
        <v/>
      </c>
      <c r="E266" s="1" t="str">
        <f aca="false">IF(A266="","",(24*60/PI())*0.082*(1+0.033*COS(2*PI()*B266/365))*(D266*SIN(RADIANS(Dashboard!$B$53))*SIN(C266)+COS(RADIANS(Dashboard!$B$53))*COS(C266)*SIN(D266)))</f>
        <v/>
      </c>
      <c r="F266" s="1" t="str">
        <f aca="false">IF(A266="","",24/PI()*D266)</f>
        <v/>
      </c>
      <c r="H266" s="1" t="n">
        <v>262</v>
      </c>
      <c r="I266" s="1" t="n">
        <f aca="false">0.409*SIN(2*PI()*H266/365-1.39)</f>
        <v>0.008780799693505</v>
      </c>
      <c r="J266" s="1" t="n">
        <f aca="false">ACOS(-TAN(RADIANS(Dashboard!$B$53))*TAN(I266))</f>
        <v>1.57339738794325</v>
      </c>
      <c r="K266" s="1" t="n">
        <f aca="false">(24*60/PI())*0.082*(1+0.033*COS(2*PI()*H266/365))*(J266*SIN(RADIANS(Dashboard!$B$53))*SIN(I266)+COS(RADIANS(Dashboard!$B$53))*COS(I266)*SIN(J266))</f>
        <v>35.944319010997</v>
      </c>
      <c r="L266" s="1" t="n">
        <f aca="false">24/PI()*J266</f>
        <v>12.0198706434742</v>
      </c>
    </row>
    <row r="267" customFormat="false" ht="15" hidden="false" customHeight="true" outlineLevel="0" collapsed="false">
      <c r="A267" s="1" t="str">
        <f aca="false">IF(OR(A266="",A266&gt;=Dashboard!$B$55),"",A266+1)</f>
        <v/>
      </c>
      <c r="B267" s="1" t="str">
        <f aca="false">IF(A267="","",A267-DATE(YEAR(A267),1,0))</f>
        <v/>
      </c>
      <c r="C267" s="1" t="str">
        <f aca="false">IF(A267="","",0.409*SIN(2*PI()*B267/365-1.39))</f>
        <v/>
      </c>
      <c r="D267" s="1" t="str">
        <f aca="false">IF(A267="","",ACOS(-TAN(RADIANS(Dashboard!$B$53))*TAN(C267)))</f>
        <v/>
      </c>
      <c r="E267" s="1" t="str">
        <f aca="false">IF(A267="","",(24*60/PI())*0.082*(1+0.033*COS(2*PI()*B267/365))*(D267*SIN(RADIANS(Dashboard!$B$53))*SIN(C267)+COS(RADIANS(Dashboard!$B$53))*COS(C267)*SIN(D267)))</f>
        <v/>
      </c>
      <c r="F267" s="1" t="str">
        <f aca="false">IF(A267="","",24/PI()*D267)</f>
        <v/>
      </c>
      <c r="H267" s="1" t="n">
        <v>263</v>
      </c>
      <c r="I267" s="1" t="n">
        <f aca="false">0.409*SIN(2*PI()*H267/365-1.39)</f>
        <v>0.00174085872642445</v>
      </c>
      <c r="J267" s="1" t="n">
        <f aca="false">ACOS(-TAN(RADIANS(Dashboard!$B$53))*TAN(I267))</f>
        <v>1.57131199318626</v>
      </c>
      <c r="K267" s="1" t="n">
        <f aca="false">(24*60/PI())*0.082*(1+0.033*COS(2*PI()*H267/365))*(J267*SIN(RADIANS(Dashboard!$B$53))*SIN(I267)+COS(RADIANS(Dashboard!$B$53))*COS(I267)*SIN(J267))</f>
        <v>35.8483708656468</v>
      </c>
      <c r="L267" s="1" t="n">
        <f aca="false">24/PI()*J267</f>
        <v>12.0039394010483</v>
      </c>
    </row>
    <row r="268" customFormat="false" ht="15" hidden="false" customHeight="true" outlineLevel="0" collapsed="false">
      <c r="A268" s="1" t="str">
        <f aca="false">IF(OR(A267="",A267&gt;=Dashboard!$B$55),"",A267+1)</f>
        <v/>
      </c>
      <c r="B268" s="1" t="str">
        <f aca="false">IF(A268="","",A268-DATE(YEAR(A268),1,0))</f>
        <v/>
      </c>
      <c r="C268" s="1" t="str">
        <f aca="false">IF(A268="","",0.409*SIN(2*PI()*B268/365-1.39))</f>
        <v/>
      </c>
      <c r="D268" s="1" t="str">
        <f aca="false">IF(A268="","",ACOS(-TAN(RADIANS(Dashboard!$B$53))*TAN(C268)))</f>
        <v/>
      </c>
      <c r="E268" s="1" t="str">
        <f aca="false">IF(A268="","",(24*60/PI())*0.082*(1+0.033*COS(2*PI()*B268/365))*(D268*SIN(RADIANS(Dashboard!$B$53))*SIN(C268)+COS(RADIANS(Dashboard!$B$53))*COS(C268)*SIN(D268)))</f>
        <v/>
      </c>
      <c r="F268" s="1" t="str">
        <f aca="false">IF(A268="","",24/PI()*D268)</f>
        <v/>
      </c>
      <c r="H268" s="1" t="n">
        <v>264</v>
      </c>
      <c r="I268" s="1" t="n">
        <f aca="false">0.409*SIN(2*PI()*H268/365-1.39)</f>
        <v>-0.00529959809466719</v>
      </c>
      <c r="J268" s="1" t="n">
        <f aca="false">ACOS(-TAN(RADIANS(Dashboard!$B$53))*TAN(I268))</f>
        <v>1.56922649898</v>
      </c>
      <c r="K268" s="1" t="n">
        <f aca="false">(24*60/PI())*0.082*(1+0.033*COS(2*PI()*H268/365))*(J268*SIN(RADIANS(Dashboard!$B$53))*SIN(I268)+COS(RADIANS(Dashboard!$B$53))*COS(I268)*SIN(J268))</f>
        <v>35.75072665094</v>
      </c>
      <c r="L268" s="1" t="n">
        <f aca="false">24/PI()*J268</f>
        <v>11.9880073988859</v>
      </c>
    </row>
    <row r="269" customFormat="false" ht="15" hidden="false" customHeight="true" outlineLevel="0" collapsed="false">
      <c r="A269" s="1" t="str">
        <f aca="false">IF(OR(A268="",A268&gt;=Dashboard!$B$55),"",A268+1)</f>
        <v/>
      </c>
      <c r="B269" s="1" t="str">
        <f aca="false">IF(A269="","",A269-DATE(YEAR(A269),1,0))</f>
        <v/>
      </c>
      <c r="C269" s="1" t="str">
        <f aca="false">IF(A269="","",0.409*SIN(2*PI()*B269/365-1.39))</f>
        <v/>
      </c>
      <c r="D269" s="1" t="str">
        <f aca="false">IF(A269="","",ACOS(-TAN(RADIANS(Dashboard!$B$53))*TAN(C269)))</f>
        <v/>
      </c>
      <c r="E269" s="1" t="str">
        <f aca="false">IF(A269="","",(24*60/PI())*0.082*(1+0.033*COS(2*PI()*B269/365))*(D269*SIN(RADIANS(Dashboard!$B$53))*SIN(C269)+COS(RADIANS(Dashboard!$B$53))*COS(C269)*SIN(D269)))</f>
        <v/>
      </c>
      <c r="F269" s="1" t="str">
        <f aca="false">IF(A269="","",24/PI()*D269)</f>
        <v/>
      </c>
      <c r="H269" s="1" t="n">
        <v>265</v>
      </c>
      <c r="I269" s="1" t="n">
        <f aca="false">0.409*SIN(2*PI()*H269/365-1.39)</f>
        <v>-0.012338484530469</v>
      </c>
      <c r="J269" s="1" t="n">
        <f aca="false">ACOS(-TAN(RADIANS(Dashboard!$B$53))*TAN(I269))</f>
        <v>1.56714130755227</v>
      </c>
      <c r="K269" s="1" t="n">
        <f aca="false">(24*60/PI())*0.082*(1+0.033*COS(2*PI()*H269/365))*(J269*SIN(RADIANS(Dashboard!$B$53))*SIN(I269)+COS(RADIANS(Dashboard!$B$53))*COS(I269)*SIN(J269))</f>
        <v>35.6514181812315</v>
      </c>
      <c r="L269" s="1" t="n">
        <f aca="false">24/PI()*J269</f>
        <v>11.9720777097812</v>
      </c>
    </row>
    <row r="270" customFormat="false" ht="15" hidden="false" customHeight="true" outlineLevel="0" collapsed="false">
      <c r="A270" s="1" t="str">
        <f aca="false">IF(OR(A269="",A269&gt;=Dashboard!$B$55),"",A269+1)</f>
        <v/>
      </c>
      <c r="B270" s="1" t="str">
        <f aca="false">IF(A270="","",A270-DATE(YEAR(A270),1,0))</f>
        <v/>
      </c>
      <c r="C270" s="1" t="str">
        <f aca="false">IF(A270="","",0.409*SIN(2*PI()*B270/365-1.39))</f>
        <v/>
      </c>
      <c r="D270" s="1" t="str">
        <f aca="false">IF(A270="","",ACOS(-TAN(RADIANS(Dashboard!$B$53))*TAN(C270)))</f>
        <v/>
      </c>
      <c r="E270" s="1" t="str">
        <f aca="false">IF(A270="","",(24*60/PI())*0.082*(1+0.033*COS(2*PI()*B270/365))*(D270*SIN(RADIANS(Dashboard!$B$53))*SIN(C270)+COS(RADIANS(Dashboard!$B$53))*COS(C270)*SIN(D270)))</f>
        <v/>
      </c>
      <c r="F270" s="1" t="str">
        <f aca="false">IF(A270="","",24/PI()*D270)</f>
        <v/>
      </c>
      <c r="H270" s="1" t="n">
        <v>266</v>
      </c>
      <c r="I270" s="1" t="n">
        <f aca="false">0.409*SIN(2*PI()*H270/365-1.39)</f>
        <v>-0.0193737148070179</v>
      </c>
      <c r="J270" s="1" t="n">
        <f aca="false">ACOS(-TAN(RADIANS(Dashboard!$B$53))*TAN(I270))</f>
        <v>1.56505682140558</v>
      </c>
      <c r="K270" s="1" t="n">
        <f aca="false">(24*60/PI())*0.082*(1+0.033*COS(2*PI()*H270/365))*(J270*SIN(RADIANS(Dashboard!$B$53))*SIN(I270)+COS(RADIANS(Dashboard!$B$53))*COS(I270)*SIN(J270))</f>
        <v>35.5504794148427</v>
      </c>
      <c r="L270" s="1" t="n">
        <f aca="false">24/PI()*J270</f>
        <v>11.9561534086266</v>
      </c>
    </row>
    <row r="271" customFormat="false" ht="15" hidden="false" customHeight="true" outlineLevel="0" collapsed="false">
      <c r="A271" s="1" t="str">
        <f aca="false">IF(OR(A270="",A270&gt;=Dashboard!$B$55),"",A270+1)</f>
        <v/>
      </c>
      <c r="B271" s="1" t="str">
        <f aca="false">IF(A271="","",A271-DATE(YEAR(A271),1,0))</f>
        <v/>
      </c>
      <c r="C271" s="1" t="str">
        <f aca="false">IF(A271="","",0.409*SIN(2*PI()*B271/365-1.39))</f>
        <v/>
      </c>
      <c r="D271" s="1" t="str">
        <f aca="false">IF(A271="","",ACOS(-TAN(RADIANS(Dashboard!$B$53))*TAN(C271)))</f>
        <v/>
      </c>
      <c r="E271" s="1" t="str">
        <f aca="false">IF(A271="","",(24*60/PI())*0.082*(1+0.033*COS(2*PI()*B271/365))*(D271*SIN(RADIANS(Dashboard!$B$53))*SIN(C271)+COS(RADIANS(Dashboard!$B$53))*COS(C271)*SIN(D271)))</f>
        <v/>
      </c>
      <c r="F271" s="1" t="str">
        <f aca="false">IF(A271="","",24/PI()*D271)</f>
        <v/>
      </c>
      <c r="H271" s="1" t="n">
        <v>267</v>
      </c>
      <c r="I271" s="1" t="n">
        <f aca="false">0.409*SIN(2*PI()*H271/365-1.39)</f>
        <v>-0.0264032042337507</v>
      </c>
      <c r="J271" s="1" t="n">
        <f aca="false">ACOS(-TAN(RADIANS(Dashboard!$B$53))*TAN(I271))</f>
        <v>1.56297344368137</v>
      </c>
      <c r="K271" s="1" t="n">
        <f aca="false">(24*60/PI())*0.082*(1+0.033*COS(2*PI()*H271/365))*(J271*SIN(RADIANS(Dashboard!$B$53))*SIN(I271)+COS(RADIANS(Dashboard!$B$53))*COS(I271)*SIN(J271))</f>
        <v>35.447946433585</v>
      </c>
      <c r="L271" s="1" t="n">
        <f aca="false">24/PI()*J271</f>
        <v>11.9402375751961</v>
      </c>
    </row>
    <row r="272" customFormat="false" ht="15" hidden="false" customHeight="true" outlineLevel="0" collapsed="false">
      <c r="A272" s="1" t="str">
        <f aca="false">IF(OR(A271="",A271&gt;=Dashboard!$B$55),"",A271+1)</f>
        <v/>
      </c>
      <c r="B272" s="1" t="str">
        <f aca="false">IF(A272="","",A272-DATE(YEAR(A272),1,0))</f>
        <v/>
      </c>
      <c r="C272" s="1" t="str">
        <f aca="false">IF(A272="","",0.409*SIN(2*PI()*B272/365-1.39))</f>
        <v/>
      </c>
      <c r="D272" s="1" t="str">
        <f aca="false">IF(A272="","",ACOS(-TAN(RADIANS(Dashboard!$B$53))*TAN(C272)))</f>
        <v/>
      </c>
      <c r="E272" s="1" t="str">
        <f aca="false">IF(A272="","",(24*60/PI())*0.082*(1+0.033*COS(2*PI()*B272/365))*(D272*SIN(RADIANS(Dashboard!$B$53))*SIN(C272)+COS(RADIANS(Dashboard!$B$53))*COS(C272)*SIN(D272)))</f>
        <v/>
      </c>
      <c r="F272" s="1" t="str">
        <f aca="false">IF(A272="","",24/PI()*D272)</f>
        <v/>
      </c>
      <c r="H272" s="1" t="n">
        <v>268</v>
      </c>
      <c r="I272" s="1" t="n">
        <f aca="false">0.409*SIN(2*PI()*H272/365-1.39)</f>
        <v>-0.0334248698212409</v>
      </c>
      <c r="J272" s="1" t="n">
        <f aca="false">ACOS(-TAN(RADIANS(Dashboard!$B$53))*TAN(I272))</f>
        <v>1.56089157852291</v>
      </c>
      <c r="K272" s="1" t="n">
        <f aca="false">(24*60/PI())*0.082*(1+0.033*COS(2*PI()*H272/365))*(J272*SIN(RADIANS(Dashboard!$B$53))*SIN(I272)+COS(RADIANS(Dashboard!$B$53))*COS(I272)*SIN(J272))</f>
        <v>35.3438574192632</v>
      </c>
      <c r="L272" s="1" t="n">
        <f aca="false">24/PI()*J272</f>
        <v>11.9243332969167</v>
      </c>
    </row>
    <row r="273" customFormat="false" ht="15" hidden="false" customHeight="true" outlineLevel="0" collapsed="false">
      <c r="A273" s="1" t="str">
        <f aca="false">IF(OR(A272="",A272&gt;=Dashboard!$B$55),"",A272+1)</f>
        <v/>
      </c>
      <c r="B273" s="1" t="str">
        <f aca="false">IF(A273="","",A273-DATE(YEAR(A273),1,0))</f>
        <v/>
      </c>
      <c r="C273" s="1" t="str">
        <f aca="false">IF(A273="","",0.409*SIN(2*PI()*B273/365-1.39))</f>
        <v/>
      </c>
      <c r="D273" s="1" t="str">
        <f aca="false">IF(A273="","",ACOS(-TAN(RADIANS(Dashboard!$B$53))*TAN(C273)))</f>
        <v/>
      </c>
      <c r="E273" s="1" t="str">
        <f aca="false">IF(A273="","",(24*60/PI())*0.082*(1+0.033*COS(2*PI()*B273/365))*(D273*SIN(RADIANS(Dashboard!$B$53))*SIN(C273)+COS(RADIANS(Dashboard!$B$53))*COS(C273)*SIN(D273)))</f>
        <v/>
      </c>
      <c r="F273" s="1" t="str">
        <f aca="false">IF(A273="","",24/PI()*D273)</f>
        <v/>
      </c>
      <c r="H273" s="1" t="n">
        <v>269</v>
      </c>
      <c r="I273" s="1" t="n">
        <f aca="false">0.409*SIN(2*PI()*H273/365-1.39)</f>
        <v>-0.0404366308984357</v>
      </c>
      <c r="J273" s="1" t="n">
        <f aca="false">ACOS(-TAN(RADIANS(Dashboard!$B$53))*TAN(I273))</f>
        <v>1.55881163143596</v>
      </c>
      <c r="K273" s="1" t="n">
        <f aca="false">(24*60/PI())*0.082*(1+0.033*COS(2*PI()*H273/365))*(J273*SIN(RADIANS(Dashboard!$B$53))*SIN(I273)+COS(RADIANS(Dashboard!$B$53))*COS(I273)*SIN(J273))</f>
        <v>35.2382526271937</v>
      </c>
      <c r="L273" s="1" t="n">
        <f aca="false">24/PI()*J273</f>
        <v>11.9084436716244</v>
      </c>
    </row>
    <row r="274" customFormat="false" ht="15" hidden="false" customHeight="true" outlineLevel="0" collapsed="false">
      <c r="A274" s="1" t="str">
        <f aca="false">IF(OR(A273="",A273&gt;=Dashboard!$B$55),"",A273+1)</f>
        <v/>
      </c>
      <c r="B274" s="1" t="str">
        <f aca="false">IF(A274="","",A274-DATE(YEAR(A274),1,0))</f>
        <v/>
      </c>
      <c r="C274" s="1" t="str">
        <f aca="false">IF(A274="","",0.409*SIN(2*PI()*B274/365-1.39))</f>
        <v/>
      </c>
      <c r="D274" s="1" t="str">
        <f aca="false">IF(A274="","",ACOS(-TAN(RADIANS(Dashboard!$B$53))*TAN(C274)))</f>
        <v/>
      </c>
      <c r="E274" s="1" t="str">
        <f aca="false">IF(A274="","",(24*60/PI())*0.082*(1+0.033*COS(2*PI()*B274/365))*(D274*SIN(RADIANS(Dashboard!$B$53))*SIN(C274)+COS(RADIANS(Dashboard!$B$53))*COS(C274)*SIN(D274)))</f>
        <v/>
      </c>
      <c r="F274" s="1" t="str">
        <f aca="false">IF(A274="","",24/PI()*D274)</f>
        <v/>
      </c>
      <c r="H274" s="1" t="n">
        <v>270</v>
      </c>
      <c r="I274" s="1" t="n">
        <f aca="false">0.409*SIN(2*PI()*H274/365-1.39)</f>
        <v>-0.0474364097292013</v>
      </c>
      <c r="J274" s="1" t="n">
        <f aca="false">ACOS(-TAN(RADIANS(Dashboard!$B$53))*TAN(I274))</f>
        <v>1.5567340096464</v>
      </c>
      <c r="K274" s="1" t="n">
        <f aca="false">(24*60/PI())*0.082*(1+0.033*COS(2*PI()*H274/365))*(J274*SIN(RADIANS(Dashboard!$B$53))*SIN(I274)+COS(RADIANS(Dashboard!$B$53))*COS(I274)*SIN(J274))</f>
        <v>35.1311743567856</v>
      </c>
      <c r="L274" s="1" t="n">
        <f aca="false">24/PI()*J274</f>
        <v>11.8925718102955</v>
      </c>
    </row>
    <row r="275" customFormat="false" ht="15" hidden="false" customHeight="true" outlineLevel="0" collapsed="false">
      <c r="A275" s="1" t="str">
        <f aca="false">IF(OR(A274="",A274&gt;=Dashboard!$B$55),"",A274+1)</f>
        <v/>
      </c>
      <c r="B275" s="1" t="str">
        <f aca="false">IF(A275="","",A275-DATE(YEAR(A275),1,0))</f>
        <v/>
      </c>
      <c r="C275" s="1" t="str">
        <f aca="false">IF(A275="","",0.409*SIN(2*PI()*B275/365-1.39))</f>
        <v/>
      </c>
      <c r="D275" s="1" t="str">
        <f aca="false">IF(A275="","",ACOS(-TAN(RADIANS(Dashboard!$B$53))*TAN(C275)))</f>
        <v/>
      </c>
      <c r="E275" s="1" t="str">
        <f aca="false">IF(A275="","",(24*60/PI())*0.082*(1+0.033*COS(2*PI()*B275/365))*(D275*SIN(RADIANS(Dashboard!$B$53))*SIN(C275)+COS(RADIANS(Dashboard!$B$53))*COS(C275)*SIN(D275)))</f>
        <v/>
      </c>
      <c r="F275" s="1" t="str">
        <f aca="false">IF(A275="","",24/PI()*D275)</f>
        <v/>
      </c>
      <c r="H275" s="1" t="n">
        <v>271</v>
      </c>
      <c r="I275" s="1" t="n">
        <f aca="false">0.409*SIN(2*PI()*H275/365-1.39)</f>
        <v>-0.0544221321280022</v>
      </c>
      <c r="J275" s="1" t="n">
        <f aca="false">ACOS(-TAN(RADIANS(Dashboard!$B$53))*TAN(I275))</f>
        <v>1.55465912245392</v>
      </c>
      <c r="K275" s="1" t="n">
        <f aca="false">(24*60/PI())*0.082*(1+0.033*COS(2*PI()*H275/365))*(J275*SIN(RADIANS(Dashboard!$B$53))*SIN(I275)+COS(RADIANS(Dashboard!$B$53))*COS(I275)*SIN(J275))</f>
        <v>35.0226669192328</v>
      </c>
      <c r="L275" s="1" t="n">
        <f aca="false">24/PI()*J275</f>
        <v>11.8767208397496</v>
      </c>
    </row>
    <row r="276" customFormat="false" ht="15" hidden="false" customHeight="true" outlineLevel="0" collapsed="false">
      <c r="A276" s="1" t="str">
        <f aca="false">IF(OR(A275="",A275&gt;=Dashboard!$B$55),"",A275+1)</f>
        <v/>
      </c>
      <c r="B276" s="1" t="str">
        <f aca="false">IF(A276="","",A276-DATE(YEAR(A276),1,0))</f>
        <v/>
      </c>
      <c r="C276" s="1" t="str">
        <f aca="false">IF(A276="","",0.409*SIN(2*PI()*B276/365-1.39))</f>
        <v/>
      </c>
      <c r="D276" s="1" t="str">
        <f aca="false">IF(A276="","",ACOS(-TAN(RADIANS(Dashboard!$B$53))*TAN(C276)))</f>
        <v/>
      </c>
      <c r="E276" s="1" t="str">
        <f aca="false">IF(A276="","",(24*60/PI())*0.082*(1+0.033*COS(2*PI()*B276/365))*(D276*SIN(RADIANS(Dashboard!$B$53))*SIN(C276)+COS(RADIANS(Dashboard!$B$53))*COS(C276)*SIN(D276)))</f>
        <v/>
      </c>
      <c r="F276" s="1" t="str">
        <f aca="false">IF(A276="","",24/PI()*D276)</f>
        <v/>
      </c>
      <c r="H276" s="1" t="n">
        <v>272</v>
      </c>
      <c r="I276" s="1" t="n">
        <f aca="false">0.409*SIN(2*PI()*H276/365-1.39)</f>
        <v>-0.0613917280745281</v>
      </c>
      <c r="J276" s="1" t="n">
        <f aca="false">ACOS(-TAN(RADIANS(Dashboard!$B$53))*TAN(I276))</f>
        <v>1.55258738158114</v>
      </c>
      <c r="K276" s="1" t="n">
        <f aca="false">(24*60/PI())*0.082*(1+0.033*COS(2*PI()*H276/365))*(J276*SIN(RADIANS(Dashboard!$B$53))*SIN(I276)+COS(RADIANS(Dashboard!$B$53))*COS(I276)*SIN(J276))</f>
        <v>34.9127766023727</v>
      </c>
      <c r="L276" s="1" t="n">
        <f aca="false">24/PI()*J276</f>
        <v>11.8608939053156</v>
      </c>
    </row>
    <row r="277" customFormat="false" ht="15" hidden="false" customHeight="true" outlineLevel="0" collapsed="false">
      <c r="A277" s="1" t="str">
        <f aca="false">IF(OR(A276="",A276&gt;=Dashboard!$B$55),"",A276+1)</f>
        <v/>
      </c>
      <c r="B277" s="1" t="str">
        <f aca="false">IF(A277="","",A277-DATE(YEAR(A277),1,0))</f>
        <v/>
      </c>
      <c r="C277" s="1" t="str">
        <f aca="false">IF(A277="","",0.409*SIN(2*PI()*B277/365-1.39))</f>
        <v/>
      </c>
      <c r="D277" s="1" t="str">
        <f aca="false">IF(A277="","",ACOS(-TAN(RADIANS(Dashboard!$B$53))*TAN(C277)))</f>
        <v/>
      </c>
      <c r="E277" s="1" t="str">
        <f aca="false">IF(A277="","",(24*60/PI())*0.082*(1+0.033*COS(2*PI()*B277/365))*(D277*SIN(RADIANS(Dashboard!$B$53))*SIN(C277)+COS(RADIANS(Dashboard!$B$53))*COS(C277)*SIN(D277)))</f>
        <v/>
      </c>
      <c r="F277" s="1" t="str">
        <f aca="false">IF(A277="","",24/PI()*D277)</f>
        <v/>
      </c>
      <c r="H277" s="1" t="n">
        <v>273</v>
      </c>
      <c r="I277" s="1" t="n">
        <f aca="false">0.409*SIN(2*PI()*H277/365-1.39)</f>
        <v>-0.0683431323270835</v>
      </c>
      <c r="J277" s="1" t="n">
        <f aca="false">ACOS(-TAN(RADIANS(Dashboard!$B$53))*TAN(I277))</f>
        <v>1.55051920151716</v>
      </c>
      <c r="K277" s="1" t="n">
        <f aca="false">(24*60/PI())*0.082*(1+0.033*COS(2*PI()*H277/365))*(J277*SIN(RADIANS(Dashboard!$B$53))*SIN(I277)+COS(RADIANS(Dashboard!$B$53))*COS(I277)*SIN(J277))</f>
        <v>34.8015516327742</v>
      </c>
      <c r="L277" s="1" t="n">
        <f aca="false">24/PI()*J277</f>
        <v>11.845094173457</v>
      </c>
    </row>
    <row r="278" customFormat="false" ht="15" hidden="false" customHeight="true" outlineLevel="0" collapsed="false">
      <c r="A278" s="1" t="str">
        <f aca="false">IF(OR(A277="",A277&gt;=Dashboard!$B$55),"",A277+1)</f>
        <v/>
      </c>
      <c r="B278" s="1" t="str">
        <f aca="false">IF(A278="","",A278-DATE(YEAR(A278),1,0))</f>
        <v/>
      </c>
      <c r="C278" s="1" t="str">
        <f aca="false">IF(A278="","",0.409*SIN(2*PI()*B278/365-1.39))</f>
        <v/>
      </c>
      <c r="D278" s="1" t="str">
        <f aca="false">IF(A278="","",ACOS(-TAN(RADIANS(Dashboard!$B$53))*TAN(C278)))</f>
        <v/>
      </c>
      <c r="E278" s="1" t="str">
        <f aca="false">IF(A278="","",(24*60/PI())*0.082*(1+0.033*COS(2*PI()*B278/365))*(D278*SIN(RADIANS(Dashboard!$B$53))*SIN(C278)+COS(RADIANS(Dashboard!$B$53))*COS(C278)*SIN(D278)))</f>
        <v/>
      </c>
      <c r="F278" s="1" t="str">
        <f aca="false">IF(A278="","",24/PI()*D278)</f>
        <v/>
      </c>
      <c r="H278" s="1" t="n">
        <v>274</v>
      </c>
      <c r="I278" s="1" t="n">
        <f aca="false">0.409*SIN(2*PI()*H278/365-1.39)</f>
        <v>-0.0752742850345645</v>
      </c>
      <c r="J278" s="1" t="n">
        <f aca="false">ACOS(-TAN(RADIANS(Dashboard!$B$53))*TAN(I278))</f>
        <v>1.54845499985476</v>
      </c>
      <c r="K278" s="1" t="n">
        <f aca="false">(24*60/PI())*0.082*(1+0.033*COS(2*PI()*H278/365))*(J278*SIN(RADIANS(Dashboard!$B$53))*SIN(I278)+COS(RADIANS(Dashboard!$B$53))*COS(I278)*SIN(J278))</f>
        <v>34.6890421351196</v>
      </c>
      <c r="L278" s="1" t="n">
        <f aca="false">24/PI()*J278</f>
        <v>11.8293248343478</v>
      </c>
    </row>
    <row r="279" customFormat="false" ht="15" hidden="false" customHeight="true" outlineLevel="0" collapsed="false">
      <c r="A279" s="1" t="str">
        <f aca="false">IF(OR(A278="",A278&gt;=Dashboard!$B$55),"",A278+1)</f>
        <v/>
      </c>
      <c r="B279" s="1" t="str">
        <f aca="false">IF(A279="","",A279-DATE(YEAR(A279),1,0))</f>
        <v/>
      </c>
      <c r="C279" s="1" t="str">
        <f aca="false">IF(A279="","",0.409*SIN(2*PI()*B279/365-1.39))</f>
        <v/>
      </c>
      <c r="D279" s="1" t="str">
        <f aca="false">IF(A279="","",ACOS(-TAN(RADIANS(Dashboard!$B$53))*TAN(C279)))</f>
        <v/>
      </c>
      <c r="E279" s="1" t="str">
        <f aca="false">IF(A279="","",(24*60/PI())*0.082*(1+0.033*COS(2*PI()*B279/365))*(D279*SIN(RADIANS(Dashboard!$B$53))*SIN(C279)+COS(RADIANS(Dashboard!$B$53))*COS(C279)*SIN(D279)))</f>
        <v/>
      </c>
      <c r="F279" s="1" t="str">
        <f aca="false">IF(A279="","",24/PI()*D279)</f>
        <v/>
      </c>
      <c r="H279" s="1" t="n">
        <v>275</v>
      </c>
      <c r="I279" s="1" t="n">
        <f aca="false">0.409*SIN(2*PI()*H279/365-1.39)</f>
        <v>-0.0821831323468379</v>
      </c>
      <c r="J279" s="1" t="n">
        <f aca="false">ACOS(-TAN(RADIANS(Dashboard!$B$53))*TAN(I279))</f>
        <v>1.5463951976204</v>
      </c>
      <c r="K279" s="1" t="n">
        <f aca="false">(24*60/PI())*0.082*(1+0.033*COS(2*PI()*H279/365))*(J279*SIN(RADIANS(Dashboard!$B$53))*SIN(I279)+COS(RADIANS(Dashboard!$B$53))*COS(I279)*SIN(J279))</f>
        <v>34.5753000889521</v>
      </c>
      <c r="L279" s="1" t="n">
        <f aca="false">24/PI()*J279</f>
        <v>11.813589104393</v>
      </c>
    </row>
    <row r="280" customFormat="false" ht="15" hidden="false" customHeight="true" outlineLevel="0" collapsed="false">
      <c r="A280" s="1" t="str">
        <f aca="false">IF(OR(A279="",A279&gt;=Dashboard!$B$55),"",A279+1)</f>
        <v/>
      </c>
      <c r="B280" s="1" t="str">
        <f aca="false">IF(A280="","",A280-DATE(YEAR(A280),1,0))</f>
        <v/>
      </c>
      <c r="C280" s="1" t="str">
        <f aca="false">IF(A280="","",0.409*SIN(2*PI()*B280/365-1.39))</f>
        <v/>
      </c>
      <c r="D280" s="1" t="str">
        <f aca="false">IF(A280="","",ACOS(-TAN(RADIANS(Dashboard!$B$53))*TAN(C280)))</f>
        <v/>
      </c>
      <c r="E280" s="1" t="str">
        <f aca="false">IF(A280="","",(24*60/PI())*0.082*(1+0.033*COS(2*PI()*B280/365))*(D280*SIN(RADIANS(Dashboard!$B$53))*SIN(C280)+COS(RADIANS(Dashboard!$B$53))*COS(C280)*SIN(D280)))</f>
        <v/>
      </c>
      <c r="F280" s="1" t="str">
        <f aca="false">IF(A280="","",24/PI()*D280)</f>
        <v/>
      </c>
      <c r="H280" s="1" t="n">
        <v>276</v>
      </c>
      <c r="I280" s="1" t="n">
        <f aca="false">0.409*SIN(2*PI()*H280/365-1.39)</f>
        <v>-0.0890676270233394</v>
      </c>
      <c r="J280" s="1" t="n">
        <f aca="false">ACOS(-TAN(RADIANS(Dashboard!$B$53))*TAN(I280))</f>
        <v>1.54434021959622</v>
      </c>
      <c r="K280" s="1" t="n">
        <f aca="false">(24*60/PI())*0.082*(1+0.033*COS(2*PI()*H280/365))*(J280*SIN(RADIANS(Dashboard!$B$53))*SIN(I280)+COS(RADIANS(Dashboard!$B$53))*COS(I280)*SIN(J280))</f>
        <v>34.4603792828665</v>
      </c>
      <c r="L280" s="1" t="n">
        <f aca="false">24/PI()*J280</f>
        <v>11.7978902286893</v>
      </c>
    </row>
    <row r="281" customFormat="false" ht="15" hidden="false" customHeight="true" outlineLevel="0" collapsed="false">
      <c r="A281" s="1" t="str">
        <f aca="false">IF(OR(A280="",A280&gt;=Dashboard!$B$55),"",A280+1)</f>
        <v/>
      </c>
      <c r="B281" s="1" t="str">
        <f aca="false">IF(A281="","",A281-DATE(YEAR(A281),1,0))</f>
        <v/>
      </c>
      <c r="C281" s="1" t="str">
        <f aca="false">IF(A281="","",0.409*SIN(2*PI()*B281/365-1.39))</f>
        <v/>
      </c>
      <c r="D281" s="1" t="str">
        <f aca="false">IF(A281="","",ACOS(-TAN(RADIANS(Dashboard!$B$53))*TAN(C281)))</f>
        <v/>
      </c>
      <c r="E281" s="1" t="str">
        <f aca="false">IF(A281="","",(24*60/PI())*0.082*(1+0.033*COS(2*PI()*B281/365))*(D281*SIN(RADIANS(Dashboard!$B$53))*SIN(C281)+COS(RADIANS(Dashboard!$B$53))*COS(C281)*SIN(D281)))</f>
        <v/>
      </c>
      <c r="F281" s="1" t="str">
        <f aca="false">IF(A281="","",24/PI()*D281)</f>
        <v/>
      </c>
      <c r="H281" s="1" t="n">
        <v>277</v>
      </c>
      <c r="I281" s="1" t="n">
        <f aca="false">0.409*SIN(2*PI()*H281/365-1.39)</f>
        <v>-0.0959257290397174</v>
      </c>
      <c r="J281" s="1" t="n">
        <f aca="false">ACOS(-TAN(RADIANS(Dashboard!$B$53))*TAN(I281))</f>
        <v>1.54229049463305</v>
      </c>
      <c r="K281" s="1" t="n">
        <f aca="false">(24*60/PI())*0.082*(1+0.033*COS(2*PI()*H281/365))*(J281*SIN(RADIANS(Dashboard!$B$53))*SIN(I281)+COS(RADIANS(Dashboard!$B$53))*COS(I281)*SIN(J281))</f>
        <v>34.3443352662219</v>
      </c>
      <c r="L281" s="1" t="n">
        <f aca="false">24/PI()*J281</f>
        <v>11.7822314834157</v>
      </c>
    </row>
    <row r="282" customFormat="false" ht="15" hidden="false" customHeight="true" outlineLevel="0" collapsed="false">
      <c r="A282" s="1" t="str">
        <f aca="false">IF(OR(A281="",A281&gt;=Dashboard!$B$55),"",A281+1)</f>
        <v/>
      </c>
      <c r="B282" s="1" t="str">
        <f aca="false">IF(A282="","",A282-DATE(YEAR(A282),1,0))</f>
        <v/>
      </c>
      <c r="C282" s="1" t="str">
        <f aca="false">IF(A282="","",0.409*SIN(2*PI()*B282/365-1.39))</f>
        <v/>
      </c>
      <c r="D282" s="1" t="str">
        <f aca="false">IF(A282="","",ACOS(-TAN(RADIANS(Dashboard!$B$53))*TAN(C282)))</f>
        <v/>
      </c>
      <c r="E282" s="1" t="str">
        <f aca="false">IF(A282="","",(24*60/PI())*0.082*(1+0.033*COS(2*PI()*B282/365))*(D282*SIN(RADIANS(Dashboard!$B$53))*SIN(C282)+COS(RADIANS(Dashboard!$B$53))*COS(C282)*SIN(D282)))</f>
        <v/>
      </c>
      <c r="F282" s="1" t="str">
        <f aca="false">IF(A282="","",24/PI()*D282)</f>
        <v/>
      </c>
      <c r="H282" s="1" t="n">
        <v>278</v>
      </c>
      <c r="I282" s="1" t="n">
        <f aca="false">0.409*SIN(2*PI()*H282/365-1.39)</f>
        <v>-0.102755406192334</v>
      </c>
      <c r="J282" s="1" t="n">
        <f aca="false">ACOS(-TAN(RADIANS(Dashboard!$B$53))*TAN(I282))</f>
        <v>1.54024645595373</v>
      </c>
      <c r="K282" s="1" t="n">
        <f aca="false">(24*60/PI())*0.082*(1+0.033*COS(2*PI()*H282/365))*(J282*SIN(RADIANS(Dashboard!$B$53))*SIN(I282)+COS(RADIANS(Dashboard!$B$53))*COS(I282)*SIN(J282))</f>
        <v>34.2272252984627</v>
      </c>
      <c r="L282" s="1" t="n">
        <f aca="false">24/PI()*J282</f>
        <v>11.7666161781508</v>
      </c>
    </row>
    <row r="283" customFormat="false" ht="15" hidden="false" customHeight="true" outlineLevel="0" collapsed="false">
      <c r="A283" s="1" t="str">
        <f aca="false">IF(OR(A282="",A282&gt;=Dashboard!$B$55),"",A282+1)</f>
        <v/>
      </c>
      <c r="B283" s="1" t="str">
        <f aca="false">IF(A283="","",A283-DATE(YEAR(A283),1,0))</f>
        <v/>
      </c>
      <c r="C283" s="1" t="str">
        <f aca="false">IF(A283="","",0.409*SIN(2*PI()*B283/365-1.39))</f>
        <v/>
      </c>
      <c r="D283" s="1" t="str">
        <f aca="false">IF(A283="","",ACOS(-TAN(RADIANS(Dashboard!$B$53))*TAN(C283)))</f>
        <v/>
      </c>
      <c r="E283" s="1" t="str">
        <f aca="false">IF(A283="","",(24*60/PI())*0.082*(1+0.033*COS(2*PI()*B283/365))*(D283*SIN(RADIANS(Dashboard!$B$53))*SIN(C283)+COS(RADIANS(Dashboard!$B$53))*COS(C283)*SIN(D283)))</f>
        <v/>
      </c>
      <c r="F283" s="1" t="str">
        <f aca="false">IF(A283="","",24/PI()*D283)</f>
        <v/>
      </c>
      <c r="H283" s="1" t="n">
        <v>279</v>
      </c>
      <c r="I283" s="1" t="n">
        <f aca="false">0.409*SIN(2*PI()*H283/365-1.39)</f>
        <v>-0.109554634700452</v>
      </c>
      <c r="J283" s="1" t="n">
        <f aca="false">ACOS(-TAN(RADIANS(Dashboard!$B$53))*TAN(I283))</f>
        <v>1.53820854144566</v>
      </c>
      <c r="K283" s="1" t="n">
        <f aca="false">(24*60/PI())*0.082*(1+0.033*COS(2*PI()*H283/365))*(J283*SIN(RADIANS(Dashboard!$B$53))*SIN(I283)+COS(RADIANS(Dashboard!$B$53))*COS(I283)*SIN(J283))</f>
        <v>34.1091082961374</v>
      </c>
      <c r="L283" s="1" t="n">
        <f aca="false">24/PI()*J283</f>
        <v>11.7510476581081</v>
      </c>
    </row>
    <row r="284" customFormat="false" ht="15" hidden="false" customHeight="true" outlineLevel="0" collapsed="false">
      <c r="A284" s="1" t="str">
        <f aca="false">IF(OR(A283="",A283&gt;=Dashboard!$B$55),"",A283+1)</f>
        <v/>
      </c>
      <c r="B284" s="1" t="str">
        <f aca="false">IF(A284="","",A284-DATE(YEAR(A284),1,0))</f>
        <v/>
      </c>
      <c r="C284" s="1" t="str">
        <f aca="false">IF(A284="","",0.409*SIN(2*PI()*B284/365-1.39))</f>
        <v/>
      </c>
      <c r="D284" s="1" t="str">
        <f aca="false">IF(A284="","",ACOS(-TAN(RADIANS(Dashboard!$B$53))*TAN(C284)))</f>
        <v/>
      </c>
      <c r="E284" s="1" t="str">
        <f aca="false">IF(A284="","",(24*60/PI())*0.082*(1+0.033*COS(2*PI()*B284/365))*(D284*SIN(RADIANS(Dashboard!$B$53))*SIN(C284)+COS(RADIANS(Dashboard!$B$53))*COS(C284)*SIN(D284)))</f>
        <v/>
      </c>
      <c r="F284" s="1" t="str">
        <f aca="false">IF(A284="","",24/PI()*D284)</f>
        <v/>
      </c>
      <c r="H284" s="1" t="n">
        <v>280</v>
      </c>
      <c r="I284" s="1" t="n">
        <f aca="false">0.409*SIN(2*PI()*H284/365-1.39)</f>
        <v>-0.116321399805927</v>
      </c>
      <c r="J284" s="1" t="n">
        <f aca="false">ACOS(-TAN(RADIANS(Dashboard!$B$53))*TAN(I284))</f>
        <v>1.5361771939419</v>
      </c>
      <c r="K284" s="1" t="n">
        <f aca="false">(24*60/PI())*0.082*(1+0.033*COS(2*PI()*H284/365))*(J284*SIN(RADIANS(Dashboard!$B$53))*SIN(I284)+COS(RADIANS(Dashboard!$B$53))*COS(I284)*SIN(J284))</f>
        <v>33.9900447777077</v>
      </c>
      <c r="L284" s="1" t="n">
        <f aca="false">24/PI()*J284</f>
        <v>11.7355293062828</v>
      </c>
    </row>
    <row r="285" customFormat="false" ht="15" hidden="false" customHeight="true" outlineLevel="0" collapsed="false">
      <c r="A285" s="1" t="str">
        <f aca="false">IF(OR(A284="",A284&gt;=Dashboard!$B$55),"",A284+1)</f>
        <v/>
      </c>
      <c r="B285" s="1" t="str">
        <f aca="false">IF(A285="","",A285-DATE(YEAR(A285),1,0))</f>
        <v/>
      </c>
      <c r="C285" s="1" t="str">
        <f aca="false">IF(A285="","",0.409*SIN(2*PI()*B285/365-1.39))</f>
        <v/>
      </c>
      <c r="D285" s="1" t="str">
        <f aca="false">IF(A285="","",ACOS(-TAN(RADIANS(Dashboard!$B$53))*TAN(C285)))</f>
        <v/>
      </c>
      <c r="E285" s="1" t="str">
        <f aca="false">IF(A285="","",(24*60/PI())*0.082*(1+0.033*COS(2*PI()*B285/365))*(D285*SIN(RADIANS(Dashboard!$B$53))*SIN(C285)+COS(RADIANS(Dashboard!$B$53))*COS(C285)*SIN(D285)))</f>
        <v/>
      </c>
      <c r="F285" s="1" t="str">
        <f aca="false">IF(A285="","",24/PI()*D285)</f>
        <v/>
      </c>
      <c r="H285" s="1" t="n">
        <v>281</v>
      </c>
      <c r="I285" s="1" t="n">
        <f aca="false">0.409*SIN(2*PI()*H285/365-1.39)</f>
        <v>-0.123053696370217</v>
      </c>
      <c r="J285" s="1" t="n">
        <f aca="false">ACOS(-TAN(RADIANS(Dashboard!$B$53))*TAN(I285))</f>
        <v>1.53415286148971</v>
      </c>
      <c r="K285" s="1" t="n">
        <f aca="false">(24*60/PI())*0.082*(1+0.033*COS(2*PI()*H285/365))*(J285*SIN(RADIANS(Dashboard!$B$53))*SIN(I285)+COS(RADIANS(Dashboard!$B$53))*COS(I285)*SIN(J285))</f>
        <v>33.8700968062459</v>
      </c>
      <c r="L285" s="1" t="n">
        <f aca="false">24/PI()*J285</f>
        <v>11.7200645455038</v>
      </c>
    </row>
    <row r="286" customFormat="false" ht="15" hidden="false" customHeight="true" outlineLevel="0" collapsed="false">
      <c r="A286" s="1" t="str">
        <f aca="false">IF(OR(A285="",A285&gt;=Dashboard!$B$55),"",A285+1)</f>
        <v/>
      </c>
      <c r="B286" s="1" t="str">
        <f aca="false">IF(A286="","",A286-DATE(YEAR(A286),1,0))</f>
        <v/>
      </c>
      <c r="C286" s="1" t="str">
        <f aca="false">IF(A286="","",0.409*SIN(2*PI()*B286/365-1.39))</f>
        <v/>
      </c>
      <c r="D286" s="1" t="str">
        <f aca="false">IF(A286="","",ACOS(-TAN(RADIANS(Dashboard!$B$53))*TAN(C286)))</f>
        <v/>
      </c>
      <c r="E286" s="1" t="str">
        <f aca="false">IF(A286="","",(24*60/PI())*0.082*(1+0.033*COS(2*PI()*B286/365))*(D286*SIN(RADIANS(Dashboard!$B$53))*SIN(C286)+COS(RADIANS(Dashboard!$B$53))*COS(C286)*SIN(D286)))</f>
        <v/>
      </c>
      <c r="F286" s="1" t="str">
        <f aca="false">IF(A286="","",24/PI()*D286)</f>
        <v/>
      </c>
      <c r="H286" s="1" t="n">
        <v>282</v>
      </c>
      <c r="I286" s="1" t="n">
        <f aca="false">0.409*SIN(2*PI()*H286/365-1.39)</f>
        <v>-0.129749529468556</v>
      </c>
      <c r="J286" s="1" t="n">
        <f aca="false">ACOS(-TAN(RADIANS(Dashboard!$B$53))*TAN(I286))</f>
        <v>1.53213599760576</v>
      </c>
      <c r="K286" s="1" t="n">
        <f aca="false">(24*60/PI())*0.082*(1+0.033*COS(2*PI()*H286/365))*(J286*SIN(RADIANS(Dashboard!$B$53))*SIN(I286)+COS(RADIANS(Dashboard!$B$53))*COS(I286)*SIN(J286))</f>
        <v>33.7493279301199</v>
      </c>
      <c r="L286" s="1" t="n">
        <f aca="false">24/PI()*J286</f>
        <v>11.7046568403834</v>
      </c>
    </row>
    <row r="287" customFormat="false" ht="15" hidden="false" customHeight="true" outlineLevel="0" collapsed="false">
      <c r="A287" s="1" t="str">
        <f aca="false">IF(OR(A286="",A286&gt;=Dashboard!$B$55),"",A286+1)</f>
        <v/>
      </c>
      <c r="B287" s="1" t="str">
        <f aca="false">IF(A287="","",A287-DATE(YEAR(A287),1,0))</f>
        <v/>
      </c>
      <c r="C287" s="1" t="str">
        <f aca="false">IF(A287="","",0.409*SIN(2*PI()*B287/365-1.39))</f>
        <v/>
      </c>
      <c r="D287" s="1" t="str">
        <f aca="false">IF(A287="","",ACOS(-TAN(RADIANS(Dashboard!$B$53))*TAN(C287)))</f>
        <v/>
      </c>
      <c r="E287" s="1" t="str">
        <f aca="false">IF(A287="","",(24*60/PI())*0.082*(1+0.033*COS(2*PI()*B287/365))*(D287*SIN(RADIANS(Dashboard!$B$53))*SIN(C287)+COS(RADIANS(Dashboard!$B$53))*COS(C287)*SIN(D287)))</f>
        <v/>
      </c>
      <c r="F287" s="1" t="str">
        <f aca="false">IF(A287="","",24/PI()*D287)</f>
        <v/>
      </c>
      <c r="H287" s="1" t="n">
        <v>283</v>
      </c>
      <c r="I287" s="1" t="n">
        <f aca="false">0.409*SIN(2*PI()*H287/365-1.39)</f>
        <v>-0.13640691498109</v>
      </c>
      <c r="J287" s="1" t="n">
        <f aca="false">ACOS(-TAN(RADIANS(Dashboard!$B$53))*TAN(I287))</f>
        <v>1.53012706151708</v>
      </c>
      <c r="K287" s="1" t="n">
        <f aca="false">(24*60/PI())*0.082*(1+0.033*COS(2*PI()*H287/365))*(J287*SIN(RADIANS(Dashboard!$B$53))*SIN(I287)+COS(RADIANS(Dashboard!$B$53))*COS(I287)*SIN(J287))</f>
        <v>33.6278031217694</v>
      </c>
      <c r="L287" s="1" t="n">
        <f aca="false">24/PI()*J287</f>
        <v>11.6893096991578</v>
      </c>
    </row>
    <row r="288" customFormat="false" ht="15" hidden="false" customHeight="true" outlineLevel="0" collapsed="false">
      <c r="A288" s="1" t="str">
        <f aca="false">IF(OR(A287="",A287&gt;=Dashboard!$B$55),"",A287+1)</f>
        <v/>
      </c>
      <c r="B288" s="1" t="str">
        <f aca="false">IF(A288="","",A288-DATE(YEAR(A288),1,0))</f>
        <v/>
      </c>
      <c r="C288" s="1" t="str">
        <f aca="false">IF(A288="","",0.409*SIN(2*PI()*B288/365-1.39))</f>
        <v/>
      </c>
      <c r="D288" s="1" t="str">
        <f aca="false">IF(A288="","",ACOS(-TAN(RADIANS(Dashboard!$B$53))*TAN(C288)))</f>
        <v/>
      </c>
      <c r="E288" s="1" t="str">
        <f aca="false">IF(A288="","",(24*60/PI())*0.082*(1+0.033*COS(2*PI()*B288/365))*(D288*SIN(RADIANS(Dashboard!$B$53))*SIN(C288)+COS(RADIANS(Dashboard!$B$53))*COS(C288)*SIN(D288)))</f>
        <v/>
      </c>
      <c r="F288" s="1" t="str">
        <f aca="false">IF(A288="","",24/PI()*D288)</f>
        <v/>
      </c>
      <c r="H288" s="1" t="n">
        <v>284</v>
      </c>
      <c r="I288" s="1" t="n">
        <f aca="false">0.409*SIN(2*PI()*H288/365-1.39)</f>
        <v>-0.143023880180812</v>
      </c>
      <c r="J288" s="1" t="n">
        <f aca="false">ACOS(-TAN(RADIANS(Dashboard!$B$53))*TAN(I288))</f>
        <v>1.52812651838676</v>
      </c>
      <c r="K288" s="1" t="n">
        <f aca="false">(24*60/PI())*0.082*(1+0.033*COS(2*PI()*H288/365))*(J288*SIN(RADIANS(Dashboard!$B$53))*SIN(I288)+COS(RADIANS(Dashboard!$B$53))*COS(I288)*SIN(J288))</f>
        <v>33.5055887146803</v>
      </c>
      <c r="L288" s="1" t="n">
        <f aca="false">24/PI()*J288</f>
        <v>11.6740266754109</v>
      </c>
    </row>
    <row r="289" customFormat="false" ht="15" hidden="false" customHeight="true" outlineLevel="0" collapsed="false">
      <c r="A289" s="1" t="str">
        <f aca="false">IF(OR(A288="",A288&gt;=Dashboard!$B$55),"",A288+1)</f>
        <v/>
      </c>
      <c r="B289" s="1" t="str">
        <f aca="false">IF(A289="","",A289-DATE(YEAR(A289),1,0))</f>
        <v/>
      </c>
      <c r="C289" s="1" t="str">
        <f aca="false">IF(A289="","",0.409*SIN(2*PI()*B289/365-1.39))</f>
        <v/>
      </c>
      <c r="D289" s="1" t="str">
        <f aca="false">IF(A289="","",ACOS(-TAN(RADIANS(Dashboard!$B$53))*TAN(C289)))</f>
        <v/>
      </c>
      <c r="E289" s="1" t="str">
        <f aca="false">IF(A289="","",(24*60/PI())*0.082*(1+0.033*COS(2*PI()*B289/365))*(D289*SIN(RADIANS(Dashboard!$B$53))*SIN(C289)+COS(RADIANS(Dashboard!$B$53))*COS(C289)*SIN(D289)))</f>
        <v/>
      </c>
      <c r="F289" s="1" t="str">
        <f aca="false">IF(A289="","",24/PI()*D289)</f>
        <v/>
      </c>
      <c r="H289" s="1" t="n">
        <v>285</v>
      </c>
      <c r="I289" s="1" t="n">
        <f aca="false">0.409*SIN(2*PI()*H289/365-1.39)</f>
        <v>-0.149598464318129</v>
      </c>
      <c r="J289" s="1" t="n">
        <f aca="false">ACOS(-TAN(RADIANS(Dashboard!$B$53))*TAN(I289))</f>
        <v>1.52613483952345</v>
      </c>
      <c r="K289" s="1" t="n">
        <f aca="false">(24*60/PI())*0.082*(1+0.033*COS(2*PI()*H289/365))*(J289*SIN(RADIANS(Dashboard!$B$53))*SIN(I289)+COS(RADIANS(Dashboard!$B$53))*COS(I289)*SIN(J289))</f>
        <v>33.382752338665</v>
      </c>
      <c r="L289" s="1" t="n">
        <f aca="false">24/PI()*J289</f>
        <v>11.6588113696759</v>
      </c>
    </row>
    <row r="290" customFormat="false" ht="15" hidden="false" customHeight="true" outlineLevel="0" collapsed="false">
      <c r="A290" s="1" t="str">
        <f aca="false">IF(OR(A289="",A289&gt;=Dashboard!$B$55),"",A289+1)</f>
        <v/>
      </c>
      <c r="B290" s="1" t="str">
        <f aca="false">IF(A290="","",A290-DATE(YEAR(A290),1,0))</f>
        <v/>
      </c>
      <c r="C290" s="1" t="str">
        <f aca="false">IF(A290="","",0.409*SIN(2*PI()*B290/365-1.39))</f>
        <v/>
      </c>
      <c r="D290" s="1" t="str">
        <f aca="false">IF(A290="","",ACOS(-TAN(RADIANS(Dashboard!$B$53))*TAN(C290)))</f>
        <v/>
      </c>
      <c r="E290" s="1" t="str">
        <f aca="false">IF(A290="","",(24*60/PI())*0.082*(1+0.033*COS(2*PI()*B290/365))*(D290*SIN(RADIANS(Dashboard!$B$53))*SIN(C290)+COS(RADIANS(Dashboard!$B$53))*COS(C290)*SIN(D290)))</f>
        <v/>
      </c>
      <c r="F290" s="1" t="str">
        <f aca="false">IF(A290="","",24/PI()*D290)</f>
        <v/>
      </c>
      <c r="H290" s="1" t="n">
        <v>286</v>
      </c>
      <c r="I290" s="1" t="n">
        <f aca="false">0.409*SIN(2*PI()*H290/365-1.39)</f>
        <v>-0.156128719201869</v>
      </c>
      <c r="J290" s="1" t="n">
        <f aca="false">ACOS(-TAN(RADIANS(Dashboard!$B$53))*TAN(I290))</f>
        <v>1.52415250257388</v>
      </c>
      <c r="K290" s="1" t="n">
        <f aca="false">(24*60/PI())*0.082*(1+0.033*COS(2*PI()*H290/365))*(J290*SIN(RADIANS(Dashboard!$B$53))*SIN(I290)+COS(RADIANS(Dashboard!$B$53))*COS(I290)*SIN(J290))</f>
        <v>33.2593628535599</v>
      </c>
      <c r="L290" s="1" t="n">
        <f aca="false">24/PI()*J290</f>
        <v>11.6436674309047</v>
      </c>
    </row>
    <row r="291" customFormat="false" ht="15" hidden="false" customHeight="true" outlineLevel="0" collapsed="false">
      <c r="A291" s="1" t="str">
        <f aca="false">IF(OR(A290="",A290&gt;=Dashboard!$B$55),"",A290+1)</f>
        <v/>
      </c>
      <c r="B291" s="1" t="str">
        <f aca="false">IF(A291="","",A291-DATE(YEAR(A291),1,0))</f>
        <v/>
      </c>
      <c r="C291" s="1" t="str">
        <f aca="false">IF(A291="","",0.409*SIN(2*PI()*B291/365-1.39))</f>
        <v/>
      </c>
      <c r="D291" s="1" t="str">
        <f aca="false">IF(A291="","",ACOS(-TAN(RADIANS(Dashboard!$B$53))*TAN(C291)))</f>
        <v/>
      </c>
      <c r="E291" s="1" t="str">
        <f aca="false">IF(A291="","",(24*60/PI())*0.082*(1+0.033*COS(2*PI()*B291/365))*(D291*SIN(RADIANS(Dashboard!$B$53))*SIN(C291)+COS(RADIANS(Dashboard!$B$53))*COS(C291)*SIN(D291)))</f>
        <v/>
      </c>
      <c r="F291" s="1" t="str">
        <f aca="false">IF(A291="","",24/PI()*D291)</f>
        <v/>
      </c>
      <c r="H291" s="1" t="n">
        <v>287</v>
      </c>
      <c r="I291" s="1" t="n">
        <f aca="false">0.409*SIN(2*PI()*H291/365-1.39)</f>
        <v>-0.162612709776576</v>
      </c>
      <c r="J291" s="1" t="n">
        <f aca="false">ACOS(-TAN(RADIANS(Dashboard!$B$53))*TAN(I291))</f>
        <v>1.52217999169721</v>
      </c>
      <c r="K291" s="1" t="n">
        <f aca="false">(24*60/PI())*0.082*(1+0.033*COS(2*PI()*H291/365))*(J291*SIN(RADIANS(Dashboard!$B$53))*SIN(I291)+COS(RADIANS(Dashboard!$B$53))*COS(I291)*SIN(J291))</f>
        <v>33.1354902814533</v>
      </c>
      <c r="L291" s="1" t="n">
        <f aca="false">24/PI()*J291</f>
        <v>11.6285985578011</v>
      </c>
    </row>
    <row r="292" customFormat="false" ht="15" hidden="false" customHeight="true" outlineLevel="0" collapsed="false">
      <c r="A292" s="1" t="str">
        <f aca="false">IF(OR(A291="",A291&gt;=Dashboard!$B$55),"",A291+1)</f>
        <v/>
      </c>
      <c r="B292" s="1" t="str">
        <f aca="false">IF(A292="","",A292-DATE(YEAR(A292),1,0))</f>
        <v/>
      </c>
      <c r="C292" s="1" t="str">
        <f aca="false">IF(A292="","",0.409*SIN(2*PI()*B292/365-1.39))</f>
        <v/>
      </c>
      <c r="D292" s="1" t="str">
        <f aca="false">IF(A292="","",ACOS(-TAN(RADIANS(Dashboard!$B$53))*TAN(C292)))</f>
        <v/>
      </c>
      <c r="E292" s="1" t="str">
        <f aca="false">IF(A292="","",(24*60/PI())*0.082*(1+0.033*COS(2*PI()*B292/365))*(D292*SIN(RADIANS(Dashboard!$B$53))*SIN(C292)+COS(RADIANS(Dashboard!$B$53))*COS(C292)*SIN(D292)))</f>
        <v/>
      </c>
      <c r="F292" s="1" t="str">
        <f aca="false">IF(A292="","",24/PI()*D292)</f>
        <v/>
      </c>
      <c r="H292" s="1" t="n">
        <v>288</v>
      </c>
      <c r="I292" s="1" t="n">
        <f aca="false">0.409*SIN(2*PI()*H292/365-1.39)</f>
        <v>-0.169048514695906</v>
      </c>
      <c r="J292" s="1" t="n">
        <f aca="false">ACOS(-TAN(RADIANS(Dashboard!$B$53))*TAN(I292))</f>
        <v>1.52021779772051</v>
      </c>
      <c r="K292" s="1" t="n">
        <f aca="false">(24*60/PI())*0.082*(1+0.033*COS(2*PI()*H292/365))*(J292*SIN(RADIANS(Dashboard!$B$53))*SIN(I292)+COS(RADIANS(Dashboard!$B$53))*COS(I292)*SIN(J292))</f>
        <v>33.011205737558</v>
      </c>
      <c r="L292" s="1" t="n">
        <f aca="false">24/PI()*J292</f>
        <v>11.6136085000077</v>
      </c>
    </row>
    <row r="293" customFormat="false" ht="15" hidden="false" customHeight="true" outlineLevel="0" collapsed="false">
      <c r="A293" s="1" t="str">
        <f aca="false">IF(OR(A292="",A292&gt;=Dashboard!$B$55),"",A292+1)</f>
        <v/>
      </c>
      <c r="B293" s="1" t="str">
        <f aca="false">IF(A293="","",A293-DATE(YEAR(A293),1,0))</f>
        <v/>
      </c>
      <c r="C293" s="1" t="str">
        <f aca="false">IF(A293="","",0.409*SIN(2*PI()*B293/365-1.39))</f>
        <v/>
      </c>
      <c r="D293" s="1" t="str">
        <f aca="false">IF(A293="","",ACOS(-TAN(RADIANS(Dashboard!$B$53))*TAN(C293)))</f>
        <v/>
      </c>
      <c r="E293" s="1" t="str">
        <f aca="false">IF(A293="","",(24*60/PI())*0.082*(1+0.033*COS(2*PI()*B293/365))*(D293*SIN(RADIANS(Dashboard!$B$53))*SIN(C293)+COS(RADIANS(Dashboard!$B$53))*COS(C293)*SIN(D293)))</f>
        <v/>
      </c>
      <c r="F293" s="1" t="str">
        <f aca="false">IF(A293="","",24/PI()*D293)</f>
        <v/>
      </c>
      <c r="H293" s="1" t="n">
        <v>289</v>
      </c>
      <c r="I293" s="1" t="n">
        <f aca="false">0.409*SIN(2*PI()*H293/365-1.39)</f>
        <v>-0.175434226891966</v>
      </c>
      <c r="J293" s="1" t="n">
        <f aca="false">ACOS(-TAN(RADIANS(Dashboard!$B$53))*TAN(I293))</f>
        <v>1.51826641827428</v>
      </c>
      <c r="K293" s="1" t="n">
        <f aca="false">(24*60/PI())*0.082*(1+0.033*COS(2*PI()*H293/365))*(J293*SIN(RADIANS(Dashboard!$B$53))*SIN(I293)+COS(RADIANS(Dashboard!$B$53))*COS(I293)*SIN(J293))</f>
        <v>32.8865813598432</v>
      </c>
      <c r="L293" s="1" t="n">
        <f aca="false">24/PI()*J293</f>
        <v>11.5987010591414</v>
      </c>
    </row>
    <row r="294" customFormat="false" ht="15" hidden="false" customHeight="true" outlineLevel="0" collapsed="false">
      <c r="A294" s="1" t="str">
        <f aca="false">IF(OR(A293="",A293&gt;=Dashboard!$B$55),"",A293+1)</f>
        <v/>
      </c>
      <c r="B294" s="1" t="str">
        <f aca="false">IF(A294="","",A294-DATE(YEAR(A294),1,0))</f>
        <v/>
      </c>
      <c r="C294" s="1" t="str">
        <f aca="false">IF(A294="","",0.409*SIN(2*PI()*B294/365-1.39))</f>
        <v/>
      </c>
      <c r="D294" s="1" t="str">
        <f aca="false">IF(A294="","",ACOS(-TAN(RADIANS(Dashboard!$B$53))*TAN(C294)))</f>
        <v/>
      </c>
      <c r="E294" s="1" t="str">
        <f aca="false">IF(A294="","",(24*60/PI())*0.082*(1+0.033*COS(2*PI()*B294/365))*(D294*SIN(RADIANS(Dashboard!$B$53))*SIN(C294)+COS(RADIANS(Dashboard!$B$53))*COS(C294)*SIN(D294)))</f>
        <v/>
      </c>
      <c r="F294" s="1" t="str">
        <f aca="false">IF(A294="","",24/PI()*D294)</f>
        <v/>
      </c>
      <c r="H294" s="1" t="n">
        <v>290</v>
      </c>
      <c r="I294" s="1" t="n">
        <f aca="false">0.409*SIN(2*PI()*H294/365-1.39)</f>
        <v>-0.181767954140418</v>
      </c>
      <c r="J294" s="1" t="n">
        <f aca="false">ACOS(-TAN(RADIANS(Dashboard!$B$53))*TAN(I294))</f>
        <v>1.51632635790705</v>
      </c>
      <c r="K294" s="1" t="n">
        <f aca="false">(24*60/PI())*0.082*(1+0.033*COS(2*PI()*H294/365))*(J294*SIN(RADIANS(Dashboard!$B$53))*SIN(I294)+COS(RADIANS(Dashboard!$B$53))*COS(I294)*SIN(J294))</f>
        <v>32.7616902375448</v>
      </c>
      <c r="L294" s="1" t="n">
        <f aca="false">24/PI()*J294</f>
        <v>11.583880089669</v>
      </c>
    </row>
    <row r="295" customFormat="false" ht="15" hidden="false" customHeight="true" outlineLevel="0" collapsed="false">
      <c r="A295" s="1" t="str">
        <f aca="false">IF(OR(A294="",A294&gt;=Dashboard!$B$55),"",A294+1)</f>
        <v/>
      </c>
      <c r="B295" s="1" t="str">
        <f aca="false">IF(A295="","",A295-DATE(YEAR(A295),1,0))</f>
        <v/>
      </c>
      <c r="C295" s="1" t="str">
        <f aca="false">IF(A295="","",0.409*SIN(2*PI()*B295/365-1.39))</f>
        <v/>
      </c>
      <c r="D295" s="1" t="str">
        <f aca="false">IF(A295="","",ACOS(-TAN(RADIANS(Dashboard!$B$53))*TAN(C295)))</f>
        <v/>
      </c>
      <c r="E295" s="1" t="str">
        <f aca="false">IF(A295="","",(24*60/PI())*0.082*(1+0.033*COS(2*PI()*B295/365))*(D295*SIN(RADIANS(Dashboard!$B$53))*SIN(C295)+COS(RADIANS(Dashboard!$B$53))*COS(C295)*SIN(D295)))</f>
        <v/>
      </c>
      <c r="F295" s="1" t="str">
        <f aca="false">IF(A295="","",24/PI()*D295)</f>
        <v/>
      </c>
      <c r="H295" s="1" t="n">
        <v>291</v>
      </c>
      <c r="I295" s="1" t="n">
        <f aca="false">0.409*SIN(2*PI()*H295/365-1.39)</f>
        <v>-0.188047819621183</v>
      </c>
      <c r="J295" s="1" t="n">
        <f aca="false">ACOS(-TAN(RADIANS(Dashboard!$B$53))*TAN(I295))</f>
        <v>1.51439812817826</v>
      </c>
      <c r="K295" s="1" t="n">
        <f aca="false">(24*60/PI())*0.082*(1+0.033*COS(2*PI()*H295/365))*(J295*SIN(RADIANS(Dashboard!$B$53))*SIN(I295)+COS(RADIANS(Dashboard!$B$53))*COS(I295)*SIN(J295))</f>
        <v>32.636606338669</v>
      </c>
      <c r="L295" s="1" t="n">
        <f aca="false">24/PI()*J295</f>
        <v>11.5691494996168</v>
      </c>
    </row>
    <row r="296" customFormat="false" ht="15" hidden="false" customHeight="true" outlineLevel="0" collapsed="false">
      <c r="A296" s="1" t="str">
        <f aca="false">IF(OR(A295="",A295&gt;=Dashboard!$B$55),"",A295+1)</f>
        <v/>
      </c>
      <c r="B296" s="1" t="str">
        <f aca="false">IF(A296="","",A296-DATE(YEAR(A296),1,0))</f>
        <v/>
      </c>
      <c r="C296" s="1" t="str">
        <f aca="false">IF(A296="","",0.409*SIN(2*PI()*B296/365-1.39))</f>
        <v/>
      </c>
      <c r="D296" s="1" t="str">
        <f aca="false">IF(A296="","",ACOS(-TAN(RADIANS(Dashboard!$B$53))*TAN(C296)))</f>
        <v/>
      </c>
      <c r="E296" s="1" t="str">
        <f aca="false">IF(A296="","",(24*60/PI())*0.082*(1+0.033*COS(2*PI()*B296/365))*(D296*SIN(RADIANS(Dashboard!$B$53))*SIN(C296)+COS(RADIANS(Dashboard!$B$53))*COS(C296)*SIN(D296)))</f>
        <v/>
      </c>
      <c r="F296" s="1" t="str">
        <f aca="false">IF(A296="","",24/PI()*D296)</f>
        <v/>
      </c>
      <c r="H296" s="1" t="n">
        <v>292</v>
      </c>
      <c r="I296" s="1" t="n">
        <f aca="false">0.409*SIN(2*PI()*H296/365-1.39)</f>
        <v>-0.194271962474591</v>
      </c>
      <c r="J296" s="1" t="n">
        <f aca="false">ACOS(-TAN(RADIANS(Dashboard!$B$53))*TAN(I296))</f>
        <v>1.51248224772834</v>
      </c>
      <c r="K296" s="1" t="n">
        <f aca="false">(24*60/PI())*0.082*(1+0.033*COS(2*PI()*H296/365))*(J296*SIN(RADIANS(Dashboard!$B$53))*SIN(I296)+COS(RADIANS(Dashboard!$B$53))*COS(I296)*SIN(J296))</f>
        <v>32.5114044366086</v>
      </c>
      <c r="L296" s="1" t="n">
        <f aca="false">24/PI()*J296</f>
        <v>11.5545132511059</v>
      </c>
    </row>
    <row r="297" customFormat="false" ht="15" hidden="false" customHeight="true" outlineLevel="0" collapsed="false">
      <c r="A297" s="1" t="str">
        <f aca="false">IF(OR(A296="",A296&gt;=Dashboard!$B$55),"",A296+1)</f>
        <v/>
      </c>
      <c r="B297" s="1" t="str">
        <f aca="false">IF(A297="","",A297-DATE(YEAR(A297),1,0))</f>
        <v/>
      </c>
      <c r="C297" s="1" t="str">
        <f aca="false">IF(A297="","",0.409*SIN(2*PI()*B297/365-1.39))</f>
        <v/>
      </c>
      <c r="D297" s="1" t="str">
        <f aca="false">IF(A297="","",ACOS(-TAN(RADIANS(Dashboard!$B$53))*TAN(C297)))</f>
        <v/>
      </c>
      <c r="E297" s="1" t="str">
        <f aca="false">IF(A297="","",(24*60/PI())*0.082*(1+0.033*COS(2*PI()*B297/365))*(D297*SIN(RADIANS(Dashboard!$B$53))*SIN(C297)+COS(RADIANS(Dashboard!$B$53))*COS(C297)*SIN(D297)))</f>
        <v/>
      </c>
      <c r="F297" s="1" t="str">
        <f aca="false">IF(A297="","",24/PI()*D297)</f>
        <v/>
      </c>
      <c r="H297" s="1" t="n">
        <v>293</v>
      </c>
      <c r="I297" s="1" t="n">
        <f aca="false">0.409*SIN(2*PI()*H297/365-1.39)</f>
        <v>-0.200438538352785</v>
      </c>
      <c r="J297" s="1" t="n">
        <f aca="false">ACOS(-TAN(RADIANS(Dashboard!$B$53))*TAN(I297))</f>
        <v>1.51057924232521</v>
      </c>
      <c r="K297" s="1" t="n">
        <f aca="false">(24*60/PI())*0.082*(1+0.033*COS(2*PI()*H297/365))*(J297*SIN(RADIANS(Dashboard!$B$53))*SIN(I297)+COS(RADIANS(Dashboard!$B$53))*COS(I297)*SIN(J297))</f>
        <v>32.3861600359892</v>
      </c>
      <c r="L297" s="1" t="n">
        <f aca="false">24/PI()*J297</f>
        <v>11.5399753607072</v>
      </c>
    </row>
    <row r="298" customFormat="false" ht="15" hidden="false" customHeight="true" outlineLevel="0" collapsed="false">
      <c r="A298" s="1" t="str">
        <f aca="false">IF(OR(A297="",A297&gt;=Dashboard!$B$55),"",A297+1)</f>
        <v/>
      </c>
      <c r="B298" s="1" t="str">
        <f aca="false">IF(A298="","",A298-DATE(YEAR(A298),1,0))</f>
        <v/>
      </c>
      <c r="C298" s="1" t="str">
        <f aca="false">IF(A298="","",0.409*SIN(2*PI()*B298/365-1.39))</f>
        <v/>
      </c>
      <c r="D298" s="1" t="str">
        <f aca="false">IF(A298="","",ACOS(-TAN(RADIANS(Dashboard!$B$53))*TAN(C298)))</f>
        <v/>
      </c>
      <c r="E298" s="1" t="str">
        <f aca="false">IF(A298="","",(24*60/PI())*0.082*(1+0.033*COS(2*PI()*B298/365))*(D298*SIN(RADIANS(Dashboard!$B$53))*SIN(C298)+COS(RADIANS(Dashboard!$B$53))*COS(C298)*SIN(D298)))</f>
        <v/>
      </c>
      <c r="F298" s="1" t="str">
        <f aca="false">IF(A298="","",24/PI()*D298)</f>
        <v/>
      </c>
      <c r="H298" s="1" t="n">
        <v>294</v>
      </c>
      <c r="I298" s="1" t="n">
        <f aca="false">0.409*SIN(2*PI()*H298/365-1.39)</f>
        <v>-0.206545719966248</v>
      </c>
      <c r="J298" s="1" t="n">
        <f aca="false">ACOS(-TAN(RADIANS(Dashboard!$B$53))*TAN(I298))</f>
        <v>1.5086896448862</v>
      </c>
      <c r="K298" s="1" t="n">
        <f aca="false">(24*60/PI())*0.082*(1+0.033*COS(2*PI()*H298/365))*(J298*SIN(RADIANS(Dashboard!$B$53))*SIN(I298)+COS(RADIANS(Dashboard!$B$53))*COS(I298)*SIN(J298))</f>
        <v>32.2609492978622</v>
      </c>
      <c r="L298" s="1" t="n">
        <f aca="false">24/PI()*J298</f>
        <v>11.5255398996094</v>
      </c>
    </row>
    <row r="299" customFormat="false" ht="15" hidden="false" customHeight="true" outlineLevel="0" collapsed="false">
      <c r="A299" s="1" t="str">
        <f aca="false">IF(OR(A298="",A298&gt;=Dashboard!$B$55),"",A298+1)</f>
        <v/>
      </c>
      <c r="B299" s="1" t="str">
        <f aca="false">IF(A299="","",A299-DATE(YEAR(A299),1,0))</f>
        <v/>
      </c>
      <c r="C299" s="1" t="str">
        <f aca="false">IF(A299="","",0.409*SIN(2*PI()*B299/365-1.39))</f>
        <v/>
      </c>
      <c r="D299" s="1" t="str">
        <f aca="false">IF(A299="","",ACOS(-TAN(RADIANS(Dashboard!$B$53))*TAN(C299)))</f>
        <v/>
      </c>
      <c r="E299" s="1" t="str">
        <f aca="false">IF(A299="","",(24*60/PI())*0.082*(1+0.033*COS(2*PI()*B299/365))*(D299*SIN(RADIANS(Dashboard!$B$53))*SIN(C299)+COS(RADIANS(Dashboard!$B$53))*COS(C299)*SIN(D299)))</f>
        <v/>
      </c>
      <c r="F299" s="1" t="str">
        <f aca="false">IF(A299="","",24/PI()*D299)</f>
        <v/>
      </c>
      <c r="H299" s="1" t="n">
        <v>295</v>
      </c>
      <c r="I299" s="1" t="n">
        <f aca="false">0.409*SIN(2*PI()*H299/365-1.39)</f>
        <v>-0.212591697625262</v>
      </c>
      <c r="J299" s="1" t="n">
        <f aca="false">ACOS(-TAN(RADIANS(Dashboard!$B$53))*TAN(I299))</f>
        <v>1.50681399547454</v>
      </c>
      <c r="K299" s="1" t="n">
        <f aca="false">(24*60/PI())*0.082*(1+0.033*COS(2*PI()*H299/365))*(J299*SIN(RADIANS(Dashboard!$B$53))*SIN(I299)+COS(RADIANS(Dashboard!$B$53))*COS(I299)*SIN(J299))</f>
        <v>32.1358489643634</v>
      </c>
      <c r="L299" s="1" t="n">
        <f aca="false">24/PI()*J299</f>
        <v>11.5112109935914</v>
      </c>
    </row>
    <row r="300" customFormat="false" ht="15" hidden="false" customHeight="true" outlineLevel="0" collapsed="false">
      <c r="A300" s="1" t="str">
        <f aca="false">IF(OR(A299="",A299&gt;=Dashboard!$B$55),"",A299+1)</f>
        <v/>
      </c>
      <c r="B300" s="1" t="str">
        <f aca="false">IF(A300="","",A300-DATE(YEAR(A300),1,0))</f>
        <v/>
      </c>
      <c r="C300" s="1" t="str">
        <f aca="false">IF(A300="","",0.409*SIN(2*PI()*B300/365-1.39))</f>
        <v/>
      </c>
      <c r="D300" s="1" t="str">
        <f aca="false">IF(A300="","",ACOS(-TAN(RADIANS(Dashboard!$B$53))*TAN(C300)))</f>
        <v/>
      </c>
      <c r="E300" s="1" t="str">
        <f aca="false">IF(A300="","",(24*60/PI())*0.082*(1+0.033*COS(2*PI()*B300/365))*(D300*SIN(RADIANS(Dashboard!$B$53))*SIN(C300)+COS(RADIANS(Dashboard!$B$53))*COS(C300)*SIN(D300)))</f>
        <v/>
      </c>
      <c r="F300" s="1" t="str">
        <f aca="false">IF(A300="","",24/PI()*D300)</f>
        <v/>
      </c>
      <c r="H300" s="1" t="n">
        <v>296</v>
      </c>
      <c r="I300" s="1" t="n">
        <f aca="false">0.409*SIN(2*PI()*H300/365-1.39)</f>
        <v>-0.218574679776166</v>
      </c>
      <c r="J300" s="1" t="n">
        <f aca="false">ACOS(-TAN(RADIANS(Dashboard!$B$53))*TAN(I300))</f>
        <v>1.50495284126959</v>
      </c>
      <c r="K300" s="1" t="n">
        <f aca="false">(24*60/PI())*0.082*(1+0.033*COS(2*PI()*H300/365))*(J300*SIN(RADIANS(Dashboard!$B$53))*SIN(I300)+COS(RADIANS(Dashboard!$B$53))*COS(I300)*SIN(J300))</f>
        <v>32.0109362829513</v>
      </c>
      <c r="L300" s="1" t="n">
        <f aca="false">24/PI()*J300</f>
        <v>11.4969928227959</v>
      </c>
    </row>
    <row r="301" customFormat="false" ht="15" hidden="false" customHeight="true" outlineLevel="0" collapsed="false">
      <c r="A301" s="1" t="str">
        <f aca="false">IF(OR(A300="",A300&gt;=Dashboard!$B$55),"",A300+1)</f>
        <v/>
      </c>
      <c r="B301" s="1" t="str">
        <f aca="false">IF(A301="","",A301-DATE(YEAR(A301),1,0))</f>
        <v/>
      </c>
      <c r="C301" s="1" t="str">
        <f aca="false">IF(A301="","",0.409*SIN(2*PI()*B301/365-1.39))</f>
        <v/>
      </c>
      <c r="D301" s="1" t="str">
        <f aca="false">IF(A301="","",ACOS(-TAN(RADIANS(Dashboard!$B$53))*TAN(C301)))</f>
        <v/>
      </c>
      <c r="E301" s="1" t="str">
        <f aca="false">IF(A301="","",(24*60/PI())*0.082*(1+0.033*COS(2*PI()*B301/365))*(D301*SIN(RADIANS(Dashboard!$B$53))*SIN(C301)+COS(RADIANS(Dashboard!$B$53))*COS(C301)*SIN(D301)))</f>
        <v/>
      </c>
      <c r="F301" s="1" t="str">
        <f aca="false">IF(A301="","",24/PI()*D301)</f>
        <v/>
      </c>
      <c r="H301" s="1" t="n">
        <v>297</v>
      </c>
      <c r="I301" s="1" t="n">
        <f aca="false">0.409*SIN(2*PI()*H301/365-1.39)</f>
        <v>-0.224492893532223</v>
      </c>
      <c r="J301" s="1" t="n">
        <f aca="false">ACOS(-TAN(RADIANS(Dashboard!$B$53))*TAN(I301))</f>
        <v>1.50310673651</v>
      </c>
      <c r="K301" s="1" t="n">
        <f aca="false">(24*60/PI())*0.082*(1+0.033*COS(2*PI()*H301/365))*(J301*SIN(RADIANS(Dashboard!$B$53))*SIN(I301)+COS(RADIANS(Dashboard!$B$53))*COS(I301)*SIN(J301))</f>
        <v>31.8862889303409</v>
      </c>
      <c r="L301" s="1" t="n">
        <f aca="false">24/PI()*J301</f>
        <v>11.4828896212941</v>
      </c>
    </row>
    <row r="302" customFormat="false" ht="15" hidden="false" customHeight="true" outlineLevel="0" collapsed="false">
      <c r="A302" s="1" t="str">
        <f aca="false">IF(OR(A301="",A301&gt;=Dashboard!$B$55),"",A301+1)</f>
        <v/>
      </c>
      <c r="B302" s="1" t="str">
        <f aca="false">IF(A302="","",A302-DATE(YEAR(A302),1,0))</f>
        <v/>
      </c>
      <c r="C302" s="1" t="str">
        <f aca="false">IF(A302="","",0.409*SIN(2*PI()*B302/365-1.39))</f>
        <v/>
      </c>
      <c r="D302" s="1" t="str">
        <f aca="false">IF(A302="","",ACOS(-TAN(RADIANS(Dashboard!$B$53))*TAN(C302)))</f>
        <v/>
      </c>
      <c r="E302" s="1" t="str">
        <f aca="false">IF(A302="","",(24*60/PI())*0.082*(1+0.033*COS(2*PI()*B302/365))*(D302*SIN(RADIANS(Dashboard!$B$53))*SIN(C302)+COS(RADIANS(Dashboard!$B$53))*COS(C302)*SIN(D302)))</f>
        <v/>
      </c>
      <c r="F302" s="1" t="str">
        <f aca="false">IF(A302="","",24/PI()*D302)</f>
        <v/>
      </c>
      <c r="H302" s="1" t="n">
        <v>298</v>
      </c>
      <c r="I302" s="1" t="n">
        <f aca="false">0.409*SIN(2*PI()*H302/365-1.39)</f>
        <v>-0.230344585198974</v>
      </c>
      <c r="J302" s="1" t="n">
        <f aca="false">ACOS(-TAN(RADIANS(Dashboard!$B$53))*TAN(I302))</f>
        <v>1.50127624240893</v>
      </c>
      <c r="K302" s="1" t="n">
        <f aca="false">(24*60/PI())*0.082*(1+0.033*COS(2*PI()*H302/365))*(J302*SIN(RADIANS(Dashboard!$B$53))*SIN(I302)+COS(RADIANS(Dashboard!$B$53))*COS(I302)*SIN(J302))</f>
        <v>31.7619849362474</v>
      </c>
      <c r="L302" s="1" t="n">
        <f aca="false">24/PI()*J302</f>
        <v>11.4689056764387</v>
      </c>
    </row>
    <row r="303" customFormat="false" ht="15" hidden="false" customHeight="true" outlineLevel="0" collapsed="false">
      <c r="A303" s="1" t="str">
        <f aca="false">IF(OR(A302="",A302&gt;=Dashboard!$B$55),"",A302+1)</f>
        <v/>
      </c>
      <c r="B303" s="1" t="str">
        <f aca="false">IF(A303="","",A303-DATE(YEAR(A303),1,0))</f>
        <v/>
      </c>
      <c r="C303" s="1" t="str">
        <f aca="false">IF(A303="","",0.409*SIN(2*PI()*B303/365-1.39))</f>
        <v/>
      </c>
      <c r="D303" s="1" t="str">
        <f aca="false">IF(A303="","",ACOS(-TAN(RADIANS(Dashboard!$B$53))*TAN(C303)))</f>
        <v/>
      </c>
      <c r="E303" s="1" t="str">
        <f aca="false">IF(A303="","",(24*60/PI())*0.082*(1+0.033*COS(2*PI()*B303/365))*(D303*SIN(RADIANS(Dashboard!$B$53))*SIN(C303)+COS(RADIANS(Dashboard!$B$53))*COS(C303)*SIN(D303)))</f>
        <v/>
      </c>
      <c r="F303" s="1" t="str">
        <f aca="false">IF(A303="","",24/PI()*D303)</f>
        <v/>
      </c>
      <c r="H303" s="1" t="n">
        <v>299</v>
      </c>
      <c r="I303" s="1" t="n">
        <f aca="false">0.409*SIN(2*PI()*H303/365-1.39)</f>
        <v>-0.236128020793887</v>
      </c>
      <c r="J303" s="1" t="n">
        <f aca="false">ACOS(-TAN(RADIANS(Dashboard!$B$53))*TAN(I303))</f>
        <v>1.49946192704062</v>
      </c>
      <c r="K303" s="1" t="n">
        <f aca="false">(24*60/PI())*0.082*(1+0.033*COS(2*PI()*H303/365))*(J303*SIN(RADIANS(Dashboard!$B$53))*SIN(I303)+COS(RADIANS(Dashboard!$B$53))*COS(I303)*SIN(J303))</f>
        <v>31.6381026070497</v>
      </c>
      <c r="L303" s="1" t="n">
        <f aca="false">24/PI()*J303</f>
        <v>11.4550453279975</v>
      </c>
    </row>
    <row r="304" customFormat="false" ht="15" hidden="false" customHeight="true" outlineLevel="0" collapsed="false">
      <c r="A304" s="1" t="str">
        <f aca="false">IF(OR(A303="",A303&gt;=Dashboard!$B$55),"",A303+1)</f>
        <v/>
      </c>
      <c r="B304" s="1" t="str">
        <f aca="false">IF(A304="","",A304-DATE(YEAR(A304),1,0))</f>
        <v/>
      </c>
      <c r="C304" s="1" t="str">
        <f aca="false">IF(A304="","",0.409*SIN(2*PI()*B304/365-1.39))</f>
        <v/>
      </c>
      <c r="D304" s="1" t="str">
        <f aca="false">IF(A304="","",ACOS(-TAN(RADIANS(Dashboard!$B$53))*TAN(C304)))</f>
        <v/>
      </c>
      <c r="E304" s="1" t="str">
        <f aca="false">IF(A304="","",(24*60/PI())*0.082*(1+0.033*COS(2*PI()*B304/365))*(D304*SIN(RADIANS(Dashboard!$B$53))*SIN(C304)+COS(RADIANS(Dashboard!$B$53))*COS(C304)*SIN(D304)))</f>
        <v/>
      </c>
      <c r="F304" s="1" t="str">
        <f aca="false">IF(A304="","",24/PI()*D304)</f>
        <v/>
      </c>
      <c r="H304" s="1" t="n">
        <v>300</v>
      </c>
      <c r="I304" s="1" t="n">
        <f aca="false">0.409*SIN(2*PI()*H304/365-1.39)</f>
        <v>-0.241841486560179</v>
      </c>
      <c r="J304" s="1" t="n">
        <f aca="false">ACOS(-TAN(RADIANS(Dashboard!$B$53))*TAN(I304))</f>
        <v>1.4976643651977</v>
      </c>
      <c r="K304" s="1" t="n">
        <f aca="false">(24*60/PI())*0.082*(1+0.033*COS(2*PI()*H304/365))*(J304*SIN(RADIANS(Dashboard!$B$53))*SIN(I304)+COS(RADIANS(Dashboard!$B$53))*COS(I304)*SIN(J304))</f>
        <v>31.5147204494859</v>
      </c>
      <c r="L304" s="1" t="n">
        <f aca="false">24/PI()*J304</f>
        <v>11.4413129670624</v>
      </c>
    </row>
    <row r="305" customFormat="false" ht="15" hidden="false" customHeight="true" outlineLevel="0" collapsed="false">
      <c r="A305" s="1" t="str">
        <f aca="false">IF(OR(A304="",A304&gt;=Dashboard!$B$55),"",A304+1)</f>
        <v/>
      </c>
      <c r="B305" s="1" t="str">
        <f aca="false">IF(A305="","",A305-DATE(YEAR(A305),1,0))</f>
        <v/>
      </c>
      <c r="C305" s="1" t="str">
        <f aca="false">IF(A305="","",0.409*SIN(2*PI()*B305/365-1.39))</f>
        <v/>
      </c>
      <c r="D305" s="1" t="str">
        <f aca="false">IF(A305="","",ACOS(-TAN(RADIANS(Dashboard!$B$53))*TAN(C305)))</f>
        <v/>
      </c>
      <c r="E305" s="1" t="str">
        <f aca="false">IF(A305="","",(24*60/PI())*0.082*(1+0.033*COS(2*PI()*B305/365))*(D305*SIN(RADIANS(Dashboard!$B$53))*SIN(C305)+COS(RADIANS(Dashboard!$B$53))*COS(C305)*SIN(D305)))</f>
        <v/>
      </c>
      <c r="F305" s="1" t="str">
        <f aca="false">IF(A305="","",24/PI()*D305)</f>
        <v/>
      </c>
      <c r="H305" s="1" t="n">
        <v>301</v>
      </c>
      <c r="I305" s="1" t="n">
        <f aca="false">0.409*SIN(2*PI()*H305/365-1.39)</f>
        <v>-0.247483289474637</v>
      </c>
      <c r="J305" s="1" t="n">
        <f aca="false">ACOS(-TAN(RADIANS(Dashboard!$B$53))*TAN(I305))</f>
        <v>1.49588413821837</v>
      </c>
      <c r="K305" s="1" t="n">
        <f aca="false">(24*60/PI())*0.082*(1+0.033*COS(2*PI()*H305/365))*(J305*SIN(RADIANS(Dashboard!$B$53))*SIN(I305)+COS(RADIANS(Dashboard!$B$53))*COS(I305)*SIN(J305))</f>
        <v>31.3919170944863</v>
      </c>
      <c r="L305" s="1" t="n">
        <f aca="false">24/PI()*J305</f>
        <v>11.4277130347303</v>
      </c>
    </row>
    <row r="306" customFormat="false" ht="15" hidden="false" customHeight="true" outlineLevel="0" collapsed="false">
      <c r="A306" s="1" t="str">
        <f aca="false">IF(OR(A305="",A305&gt;=Dashboard!$B$55),"",A305+1)</f>
        <v/>
      </c>
      <c r="B306" s="1" t="str">
        <f aca="false">IF(A306="","",A306-DATE(YEAR(A306),1,0))</f>
        <v/>
      </c>
      <c r="C306" s="1" t="str">
        <f aca="false">IF(A306="","",0.409*SIN(2*PI()*B306/365-1.39))</f>
        <v/>
      </c>
      <c r="D306" s="1" t="str">
        <f aca="false">IF(A306="","",ACOS(-TAN(RADIANS(Dashboard!$B$53))*TAN(C306)))</f>
        <v/>
      </c>
      <c r="E306" s="1" t="str">
        <f aca="false">IF(A306="","",(24*60/PI())*0.082*(1+0.033*COS(2*PI()*B306/365))*(D306*SIN(RADIANS(Dashboard!$B$53))*SIN(C306)+COS(RADIANS(Dashboard!$B$53))*COS(C306)*SIN(D306)))</f>
        <v/>
      </c>
      <c r="F306" s="1" t="str">
        <f aca="false">IF(A306="","",24/PI()*D306)</f>
        <v/>
      </c>
      <c r="H306" s="1" t="n">
        <v>302</v>
      </c>
      <c r="I306" s="1" t="n">
        <f aca="false">0.409*SIN(2*PI()*H306/365-1.39)</f>
        <v>-0.253051757749296</v>
      </c>
      <c r="J306" s="1" t="n">
        <f aca="false">ACOS(-TAN(RADIANS(Dashboard!$B$53))*TAN(I306))</f>
        <v>1.49412183378303</v>
      </c>
      <c r="K306" s="1" t="n">
        <f aca="false">(24*60/PI())*0.082*(1+0.033*COS(2*PI()*H306/365))*(J306*SIN(RADIANS(Dashboard!$B$53))*SIN(I306)+COS(RADIANS(Dashboard!$B$53))*COS(I306)*SIN(J306))</f>
        <v>31.269771221251</v>
      </c>
      <c r="L306" s="1" t="n">
        <f aca="false">24/PI()*J306</f>
        <v>11.4142500205486</v>
      </c>
    </row>
    <row r="307" customFormat="false" ht="15" hidden="false" customHeight="true" outlineLevel="0" collapsed="false">
      <c r="A307" s="1" t="str">
        <f aca="false">IF(OR(A306="",A306&gt;=Dashboard!$B$55),"",A306+1)</f>
        <v/>
      </c>
      <c r="B307" s="1" t="str">
        <f aca="false">IF(A307="","",A307-DATE(YEAR(A307),1,0))</f>
        <v/>
      </c>
      <c r="C307" s="1" t="str">
        <f aca="false">IF(A307="","",0.409*SIN(2*PI()*B307/365-1.39))</f>
        <v/>
      </c>
      <c r="D307" s="1" t="str">
        <f aca="false">IF(A307="","",ACOS(-TAN(RADIANS(Dashboard!$B$53))*TAN(C307)))</f>
        <v/>
      </c>
      <c r="E307" s="1" t="str">
        <f aca="false">IF(A307="","",(24*60/PI())*0.082*(1+0.033*COS(2*PI()*B307/365))*(D307*SIN(RADIANS(Dashboard!$B$53))*SIN(C307)+COS(RADIANS(Dashboard!$B$53))*COS(C307)*SIN(D307)))</f>
        <v/>
      </c>
      <c r="F307" s="1" t="str">
        <f aca="false">IF(A307="","",24/PI()*D307)</f>
        <v/>
      </c>
      <c r="H307" s="1" t="n">
        <v>303</v>
      </c>
      <c r="I307" s="1" t="n">
        <f aca="false">0.409*SIN(2*PI()*H307/365-1.39)</f>
        <v>-0.258545241326829</v>
      </c>
      <c r="J307" s="1" t="n">
        <f aca="false">ACOS(-TAN(RADIANS(Dashboard!$B$53))*TAN(I307))</f>
        <v>1.49237804567976</v>
      </c>
      <c r="K307" s="1" t="n">
        <f aca="false">(24*60/PI())*0.082*(1+0.033*COS(2*PI()*H307/365))*(J307*SIN(RADIANS(Dashboard!$B$53))*SIN(I307)+COS(RADIANS(Dashboard!$B$53))*COS(I307)*SIN(J307))</f>
        <v>31.1483614816725</v>
      </c>
      <c r="L307" s="1" t="n">
        <f aca="false">24/PI()*J307</f>
        <v>11.4009284607243</v>
      </c>
    </row>
    <row r="308" customFormat="false" ht="15" hidden="false" customHeight="true" outlineLevel="0" collapsed="false">
      <c r="A308" s="1" t="str">
        <f aca="false">IF(OR(A307="",A307&gt;=Dashboard!$B$55),"",A307+1)</f>
        <v/>
      </c>
      <c r="B308" s="1" t="str">
        <f aca="false">IF(A308="","",A308-DATE(YEAR(A308),1,0))</f>
        <v/>
      </c>
      <c r="C308" s="1" t="str">
        <f aca="false">IF(A308="","",0.409*SIN(2*PI()*B308/365-1.39))</f>
        <v/>
      </c>
      <c r="D308" s="1" t="str">
        <f aca="false">IF(A308="","",ACOS(-TAN(RADIANS(Dashboard!$B$53))*TAN(C308)))</f>
        <v/>
      </c>
      <c r="E308" s="1" t="str">
        <f aca="false">IF(A308="","",(24*60/PI())*0.082*(1+0.033*COS(2*PI()*B308/365))*(D308*SIN(RADIANS(Dashboard!$B$53))*SIN(C308)+COS(RADIANS(Dashboard!$B$53))*COS(C308)*SIN(D308)))</f>
        <v/>
      </c>
      <c r="F308" s="1" t="str">
        <f aca="false">IF(A308="","",24/PI()*D308)</f>
        <v/>
      </c>
      <c r="H308" s="1" t="n">
        <v>304</v>
      </c>
      <c r="I308" s="1" t="n">
        <f aca="false">0.409*SIN(2*PI()*H308/365-1.39)</f>
        <v>-0.263962112369495</v>
      </c>
      <c r="J308" s="1" t="n">
        <f aca="false">ACOS(-TAN(RADIANS(Dashboard!$B$53))*TAN(I308))</f>
        <v>1.49065337353814</v>
      </c>
      <c r="K308" s="1" t="n">
        <f aca="false">(24*60/PI())*0.082*(1+0.033*COS(2*PI()*H308/365))*(J308*SIN(RADIANS(Dashboard!$B$53))*SIN(I308)+COS(RADIANS(Dashboard!$B$53))*COS(I308)*SIN(J308))</f>
        <v>31.0277664252052</v>
      </c>
      <c r="L308" s="1" t="n">
        <f aca="false">24/PI()*J308</f>
        <v>11.3877529360898</v>
      </c>
    </row>
    <row r="309" customFormat="false" ht="15" hidden="false" customHeight="true" outlineLevel="0" collapsed="false">
      <c r="A309" s="1" t="str">
        <f aca="false">IF(OR(A308="",A308&gt;=Dashboard!$B$55),"",A308+1)</f>
        <v/>
      </c>
      <c r="B309" s="1" t="str">
        <f aca="false">IF(A309="","",A309-DATE(YEAR(A309),1,0))</f>
        <v/>
      </c>
      <c r="C309" s="1" t="str">
        <f aca="false">IF(A309="","",0.409*SIN(2*PI()*B309/365-1.39))</f>
        <v/>
      </c>
      <c r="D309" s="1" t="str">
        <f aca="false">IF(A309="","",ACOS(-TAN(RADIANS(Dashboard!$B$53))*TAN(C309)))</f>
        <v/>
      </c>
      <c r="E309" s="1" t="str">
        <f aca="false">IF(A309="","",(24*60/PI())*0.082*(1+0.033*COS(2*PI()*B309/365))*(D309*SIN(RADIANS(Dashboard!$B$53))*SIN(C309)+COS(RADIANS(Dashboard!$B$53))*COS(C309)*SIN(D309)))</f>
        <v/>
      </c>
      <c r="F309" s="1" t="str">
        <f aca="false">IF(A309="","",24/PI()*D309)</f>
        <v/>
      </c>
      <c r="H309" s="1" t="n">
        <v>305</v>
      </c>
      <c r="I309" s="1" t="n">
        <f aca="false">0.409*SIN(2*PI()*H309/365-1.39)</f>
        <v>-0.269300765741496</v>
      </c>
      <c r="J309" s="1" t="n">
        <f aca="false">ACOS(-TAN(RADIANS(Dashboard!$B$53))*TAN(I309))</f>
        <v>1.48894842253108</v>
      </c>
      <c r="K309" s="1" t="n">
        <f aca="false">(24*60/PI())*0.082*(1+0.033*COS(2*PI()*H309/365))*(J309*SIN(RADIANS(Dashboard!$B$53))*SIN(I309)+COS(RADIANS(Dashboard!$B$53))*COS(I309)*SIN(J309))</f>
        <v>30.9080644242767</v>
      </c>
      <c r="L309" s="1" t="n">
        <f aca="false">24/PI()*J309</f>
        <v>11.3747280698257</v>
      </c>
    </row>
    <row r="310" customFormat="false" ht="15" hidden="false" customHeight="true" outlineLevel="0" collapsed="false">
      <c r="A310" s="1" t="str">
        <f aca="false">IF(OR(A309="",A309&gt;=Dashboard!$B$55),"",A309+1)</f>
        <v/>
      </c>
      <c r="B310" s="1" t="str">
        <f aca="false">IF(A310="","",A310-DATE(YEAR(A310),1,0))</f>
        <v/>
      </c>
      <c r="C310" s="1" t="str">
        <f aca="false">IF(A310="","",0.409*SIN(2*PI()*B310/365-1.39))</f>
        <v/>
      </c>
      <c r="D310" s="1" t="str">
        <f aca="false">IF(A310="","",ACOS(-TAN(RADIANS(Dashboard!$B$53))*TAN(C310)))</f>
        <v/>
      </c>
      <c r="E310" s="1" t="str">
        <f aca="false">IF(A310="","",(24*60/PI())*0.082*(1+0.033*COS(2*PI()*B310/365))*(D310*SIN(RADIANS(Dashboard!$B$53))*SIN(C310)+COS(RADIANS(Dashboard!$B$53))*COS(C310)*SIN(D310)))</f>
        <v/>
      </c>
      <c r="F310" s="1" t="str">
        <f aca="false">IF(A310="","",24/PI()*D310)</f>
        <v/>
      </c>
      <c r="H310" s="1" t="n">
        <v>306</v>
      </c>
      <c r="I310" s="1" t="n">
        <f aca="false">0.409*SIN(2*PI()*H310/365-1.39)</f>
        <v>-0.274559619484622</v>
      </c>
      <c r="J310" s="1" t="n">
        <f aca="false">ACOS(-TAN(RADIANS(Dashboard!$B$53))*TAN(I310))</f>
        <v>1.48726380304427</v>
      </c>
      <c r="K310" s="1" t="n">
        <f aca="false">(24*60/PI())*0.082*(1+0.033*COS(2*PI()*H310/365))*(J310*SIN(RADIANS(Dashboard!$B$53))*SIN(I310)+COS(RADIANS(Dashboard!$B$53))*COS(I310)*SIN(J310))</f>
        <v>30.7893336003341</v>
      </c>
      <c r="L310" s="1" t="n">
        <f aca="false">24/PI()*J310</f>
        <v>11.3618585249351</v>
      </c>
    </row>
    <row r="311" customFormat="false" ht="15" hidden="false" customHeight="true" outlineLevel="0" collapsed="false">
      <c r="A311" s="1" t="str">
        <f aca="false">IF(OR(A310="",A310&gt;=Dashboard!$B$55),"",A310+1)</f>
        <v/>
      </c>
      <c r="B311" s="1" t="str">
        <f aca="false">IF(A311="","",A311-DATE(YEAR(A311),1,0))</f>
        <v/>
      </c>
      <c r="C311" s="1" t="str">
        <f aca="false">IF(A311="","",0.409*SIN(2*PI()*B311/365-1.39))</f>
        <v/>
      </c>
      <c r="D311" s="1" t="str">
        <f aca="false">IF(A311="","",ACOS(-TAN(RADIANS(Dashboard!$B$53))*TAN(C311)))</f>
        <v/>
      </c>
      <c r="E311" s="1" t="str">
        <f aca="false">IF(A311="","",(24*60/PI())*0.082*(1+0.033*COS(2*PI()*B311/365))*(D311*SIN(RADIANS(Dashboard!$B$53))*SIN(C311)+COS(RADIANS(Dashboard!$B$53))*COS(C311)*SIN(D311)))</f>
        <v/>
      </c>
      <c r="F311" s="1" t="str">
        <f aca="false">IF(A311="","",24/PI()*D311)</f>
        <v/>
      </c>
      <c r="H311" s="1" t="n">
        <v>307</v>
      </c>
      <c r="I311" s="1" t="n">
        <f aca="false">0.409*SIN(2*PI()*H311/365-1.39)</f>
        <v>-0.279737115287012</v>
      </c>
      <c r="J311" s="1" t="n">
        <f aca="false">ACOS(-TAN(RADIANS(Dashboard!$B$53))*TAN(I311))</f>
        <v>1.48560013031307</v>
      </c>
      <c r="K311" s="1" t="n">
        <f aca="false">(24*60/PI())*0.082*(1+0.033*COS(2*PI()*H311/365))*(J311*SIN(RADIANS(Dashboard!$B$53))*SIN(I311)+COS(RADIANS(Dashboard!$B$53))*COS(I311)*SIN(J311))</f>
        <v>30.6716517506158</v>
      </c>
      <c r="L311" s="1" t="n">
        <f aca="false">24/PI()*J311</f>
        <v>11.3491490014698</v>
      </c>
    </row>
    <row r="312" customFormat="false" ht="15" hidden="false" customHeight="true" outlineLevel="0" collapsed="false">
      <c r="A312" s="1" t="str">
        <f aca="false">IF(OR(A311="",A311&gt;=Dashboard!$B$55),"",A311+1)</f>
        <v/>
      </c>
      <c r="B312" s="1" t="str">
        <f aca="false">IF(A312="","",A312-DATE(YEAR(A312),1,0))</f>
        <v/>
      </c>
      <c r="C312" s="1" t="str">
        <f aca="false">IF(A312="","",0.409*SIN(2*PI()*B312/365-1.39))</f>
        <v/>
      </c>
      <c r="D312" s="1" t="str">
        <f aca="false">IF(A312="","",ACOS(-TAN(RADIANS(Dashboard!$B$53))*TAN(C312)))</f>
        <v/>
      </c>
      <c r="E312" s="1" t="str">
        <f aca="false">IF(A312="","",(24*60/PI())*0.082*(1+0.033*COS(2*PI()*B312/365))*(D312*SIN(RADIANS(Dashboard!$B$53))*SIN(C312)+COS(RADIANS(Dashboard!$B$53))*COS(C312)*SIN(D312)))</f>
        <v/>
      </c>
      <c r="F312" s="1" t="str">
        <f aca="false">IF(A312="","",24/PI()*D312)</f>
        <v/>
      </c>
      <c r="H312" s="1" t="n">
        <v>308</v>
      </c>
      <c r="I312" s="1" t="n">
        <f aca="false">0.409*SIN(2*PI()*H312/365-1.39)</f>
        <v>-0.284831718944922</v>
      </c>
      <c r="J312" s="1" t="n">
        <f aca="false">ACOS(-TAN(RADIANS(Dashboard!$B$53))*TAN(I312))</f>
        <v>1.48395802402662</v>
      </c>
      <c r="K312" s="1" t="n">
        <f aca="false">(24*60/PI())*0.082*(1+0.033*COS(2*PI()*H312/365))*(J312*SIN(RADIANS(Dashboard!$B$53))*SIN(I312)+COS(RADIANS(Dashboard!$B$53))*COS(I312)*SIN(J312))</f>
        <v>30.5550962757335</v>
      </c>
      <c r="L312" s="1" t="n">
        <f aca="false">24/PI()*J312</f>
        <v>11.3366042335064</v>
      </c>
    </row>
    <row r="313" customFormat="false" ht="15" hidden="false" customHeight="true" outlineLevel="0" collapsed="false">
      <c r="A313" s="1" t="str">
        <f aca="false">IF(OR(A312="",A312&gt;=Dashboard!$B$55),"",A312+1)</f>
        <v/>
      </c>
      <c r="B313" s="1" t="str">
        <f aca="false">IF(A313="","",A313-DATE(YEAR(A313),1,0))</f>
        <v/>
      </c>
      <c r="C313" s="1" t="str">
        <f aca="false">IF(A313="","",0.409*SIN(2*PI()*B313/365-1.39))</f>
        <v/>
      </c>
      <c r="D313" s="1" t="str">
        <f aca="false">IF(A313="","",ACOS(-TAN(RADIANS(Dashboard!$B$53))*TAN(C313)))</f>
        <v/>
      </c>
      <c r="E313" s="1" t="str">
        <f aca="false">IF(A313="","",(24*60/PI())*0.082*(1+0.033*COS(2*PI()*B313/365))*(D313*SIN(RADIANS(Dashboard!$B$53))*SIN(C313)+COS(RADIANS(Dashboard!$B$53))*COS(C313)*SIN(D313)))</f>
        <v/>
      </c>
      <c r="F313" s="1" t="str">
        <f aca="false">IF(A313="","",24/PI()*D313)</f>
        <v/>
      </c>
      <c r="H313" s="1" t="n">
        <v>309</v>
      </c>
      <c r="I313" s="1" t="n">
        <f aca="false">0.409*SIN(2*PI()*H313/365-1.39)</f>
        <v>-0.289841920817336</v>
      </c>
      <c r="J313" s="1" t="n">
        <f aca="false">ACOS(-TAN(RADIANS(Dashboard!$B$53))*TAN(I313))</f>
        <v>1.4823381078993</v>
      </c>
      <c r="K313" s="1" t="n">
        <f aca="false">(24*60/PI())*0.082*(1+0.033*COS(2*PI()*H313/365))*(J313*SIN(RADIANS(Dashboard!$B$53))*SIN(I313)+COS(RADIANS(Dashboard!$B$53))*COS(I313)*SIN(J313))</f>
        <v>30.4397441081486</v>
      </c>
      <c r="L313" s="1" t="n">
        <f aca="false">24/PI()*J313</f>
        <v>11.3242289858717</v>
      </c>
    </row>
    <row r="314" customFormat="false" ht="15" hidden="false" customHeight="true" outlineLevel="0" collapsed="false">
      <c r="A314" s="1" t="str">
        <f aca="false">IF(OR(A313="",A313&gt;=Dashboard!$B$55),"",A313+1)</f>
        <v/>
      </c>
      <c r="B314" s="1" t="str">
        <f aca="false">IF(A314="","",A314-DATE(YEAR(A314),1,0))</f>
        <v/>
      </c>
      <c r="C314" s="1" t="str">
        <f aca="false">IF(A314="","",0.409*SIN(2*PI()*B314/365-1.39))</f>
        <v/>
      </c>
      <c r="D314" s="1" t="str">
        <f aca="false">IF(A314="","",ACOS(-TAN(RADIANS(Dashboard!$B$53))*TAN(C314)))</f>
        <v/>
      </c>
      <c r="E314" s="1" t="str">
        <f aca="false">IF(A314="","",(24*60/PI())*0.082*(1+0.033*COS(2*PI()*B314/365))*(D314*SIN(RADIANS(Dashboard!$B$53))*SIN(C314)+COS(RADIANS(Dashboard!$B$53))*COS(C314)*SIN(D314)))</f>
        <v/>
      </c>
      <c r="F314" s="1" t="str">
        <f aca="false">IF(A314="","",24/PI()*D314)</f>
        <v/>
      </c>
      <c r="H314" s="1" t="n">
        <v>310</v>
      </c>
      <c r="I314" s="1" t="n">
        <f aca="false">0.409*SIN(2*PI()*H314/365-1.39)</f>
        <v>-0.294766236273311</v>
      </c>
      <c r="J314" s="1" t="n">
        <f aca="false">ACOS(-TAN(RADIANS(Dashboard!$B$53))*TAN(I314))</f>
        <v>1.48074100920937</v>
      </c>
      <c r="K314" s="1" t="n">
        <f aca="false">(24*60/PI())*0.082*(1+0.033*COS(2*PI()*H314/365))*(J314*SIN(RADIANS(Dashboard!$B$53))*SIN(I314)+COS(RADIANS(Dashboard!$B$53))*COS(I314)*SIN(J314))</f>
        <v>30.3256716416183</v>
      </c>
      <c r="L314" s="1" t="n">
        <f aca="false">24/PI()*J314</f>
        <v>11.3120280506185</v>
      </c>
    </row>
    <row r="315" customFormat="false" ht="15" hidden="false" customHeight="true" outlineLevel="0" collapsed="false">
      <c r="A315" s="1" t="str">
        <f aca="false">IF(OR(A314="",A314&gt;=Dashboard!$B$55),"",A314+1)</f>
        <v/>
      </c>
      <c r="B315" s="1" t="str">
        <f aca="false">IF(A315="","",A315-DATE(YEAR(A315),1,0))</f>
        <v/>
      </c>
      <c r="C315" s="1" t="str">
        <f aca="false">IF(A315="","",0.409*SIN(2*PI()*B315/365-1.39))</f>
        <v/>
      </c>
      <c r="D315" s="1" t="str">
        <f aca="false">IF(A315="","",ACOS(-TAN(RADIANS(Dashboard!$B$53))*TAN(C315)))</f>
        <v/>
      </c>
      <c r="E315" s="1" t="str">
        <f aca="false">IF(A315="","",(24*60/PI())*0.082*(1+0.033*COS(2*PI()*B315/365))*(D315*SIN(RADIANS(Dashboard!$B$53))*SIN(C315)+COS(RADIANS(Dashboard!$B$53))*COS(C315)*SIN(D315)))</f>
        <v/>
      </c>
      <c r="F315" s="1" t="str">
        <f aca="false">IF(A315="","",24/PI()*D315)</f>
        <v/>
      </c>
      <c r="H315" s="1" t="n">
        <v>311</v>
      </c>
      <c r="I315" s="1" t="n">
        <f aca="false">0.409*SIN(2*PI()*H315/365-1.39)</f>
        <v>-0.299603206131902</v>
      </c>
      <c r="J315" s="1" t="n">
        <f aca="false">ACOS(-TAN(RADIANS(Dashboard!$B$53))*TAN(I315))</f>
        <v>1.47916735830514</v>
      </c>
      <c r="K315" s="1" t="n">
        <f aca="false">(24*60/PI())*0.082*(1+0.033*COS(2*PI()*H315/365))*(J315*SIN(RADIANS(Dashboard!$B$53))*SIN(I315)+COS(RADIANS(Dashboard!$B$53))*COS(I315)*SIN(J315))</f>
        <v>30.2129546616882</v>
      </c>
      <c r="L315" s="1" t="n">
        <f aca="false">24/PI()*J315</f>
        <v>11.3000062432533</v>
      </c>
    </row>
    <row r="316" customFormat="false" ht="15" hidden="false" customHeight="true" outlineLevel="0" collapsed="false">
      <c r="A316" s="1" t="str">
        <f aca="false">IF(OR(A315="",A315&gt;=Dashboard!$B$55),"",A315+1)</f>
        <v/>
      </c>
      <c r="B316" s="1" t="str">
        <f aca="false">IF(A316="","",A316-DATE(YEAR(A316),1,0))</f>
        <v/>
      </c>
      <c r="C316" s="1" t="str">
        <f aca="false">IF(A316="","",0.409*SIN(2*PI()*B316/365-1.39))</f>
        <v/>
      </c>
      <c r="D316" s="1" t="str">
        <f aca="false">IF(A316="","",ACOS(-TAN(RADIANS(Dashboard!$B$53))*TAN(C316)))</f>
        <v/>
      </c>
      <c r="E316" s="1" t="str">
        <f aca="false">IF(A316="","",(24*60/PI())*0.082*(1+0.033*COS(2*PI()*B316/365))*(D316*SIN(RADIANS(Dashboard!$B$53))*SIN(C316)+COS(RADIANS(Dashboard!$B$53))*COS(C316)*SIN(D316)))</f>
        <v/>
      </c>
      <c r="F316" s="1" t="str">
        <f aca="false">IF(A316="","",24/PI()*D316)</f>
        <v/>
      </c>
      <c r="H316" s="1" t="n">
        <v>312</v>
      </c>
      <c r="I316" s="1" t="n">
        <f aca="false">0.409*SIN(2*PI()*H316/365-1.39)</f>
        <v>-0.304351397094549</v>
      </c>
      <c r="J316" s="1" t="n">
        <f aca="false">ACOS(-TAN(RADIANS(Dashboard!$B$53))*TAN(I316))</f>
        <v>1.47761778807886</v>
      </c>
      <c r="K316" s="1" t="n">
        <f aca="false">(24*60/PI())*0.082*(1+0.033*COS(2*PI()*H316/365))*(J316*SIN(RADIANS(Dashboard!$B$53))*SIN(I316)+COS(RADIANS(Dashboard!$B$53))*COS(I316)*SIN(J316))</f>
        <v>30.1016682773004</v>
      </c>
      <c r="L316" s="1" t="n">
        <f aca="false">24/PI()*J316</f>
        <v>11.2881683987166</v>
      </c>
    </row>
    <row r="317" customFormat="false" ht="15" hidden="false" customHeight="true" outlineLevel="0" collapsed="false">
      <c r="A317" s="1" t="str">
        <f aca="false">IF(OR(A316="",A316&gt;=Dashboard!$B$55),"",A316+1)</f>
        <v/>
      </c>
      <c r="B317" s="1" t="str">
        <f aca="false">IF(A317="","",A317-DATE(YEAR(A317),1,0))</f>
        <v/>
      </c>
      <c r="C317" s="1" t="str">
        <f aca="false">IF(A317="","",0.409*SIN(2*PI()*B317/365-1.39))</f>
        <v/>
      </c>
      <c r="D317" s="1" t="str">
        <f aca="false">IF(A317="","",ACOS(-TAN(RADIANS(Dashboard!$B$53))*TAN(C317)))</f>
        <v/>
      </c>
      <c r="E317" s="1" t="str">
        <f aca="false">IF(A317="","",(24*60/PI())*0.082*(1+0.033*COS(2*PI()*B317/365))*(D317*SIN(RADIANS(Dashboard!$B$53))*SIN(C317)+COS(RADIANS(Dashboard!$B$53))*COS(C317)*SIN(D317)))</f>
        <v/>
      </c>
      <c r="F317" s="1" t="str">
        <f aca="false">IF(A317="","",24/PI()*D317)</f>
        <v/>
      </c>
      <c r="H317" s="1" t="n">
        <v>313</v>
      </c>
      <c r="I317" s="1" t="n">
        <f aca="false">0.409*SIN(2*PI()*H317/365-1.39)</f>
        <v>-0.309009402169796</v>
      </c>
      <c r="J317" s="1" t="n">
        <f aca="false">ACOS(-TAN(RADIANS(Dashboard!$B$53))*TAN(I317))</f>
        <v>1.4760929334088</v>
      </c>
      <c r="K317" s="1" t="n">
        <f aca="false">(24*60/PI())*0.082*(1+0.033*COS(2*PI()*H317/365))*(J317*SIN(RADIANS(Dashboard!$B$53))*SIN(I317)+COS(RADIANS(Dashboard!$B$53))*COS(I317)*SIN(J317))</f>
        <v>29.9918868535822</v>
      </c>
      <c r="L317" s="1" t="n">
        <f aca="false">24/PI()*J317</f>
        <v>11.2765193671213</v>
      </c>
    </row>
    <row r="318" customFormat="false" ht="15" hidden="false" customHeight="true" outlineLevel="0" collapsed="false">
      <c r="A318" s="1" t="str">
        <f aca="false">IF(OR(A317="",A317&gt;=Dashboard!$B$55),"",A317+1)</f>
        <v/>
      </c>
      <c r="B318" s="1" t="str">
        <f aca="false">IF(A318="","",A318-DATE(YEAR(A318),1,0))</f>
        <v/>
      </c>
      <c r="C318" s="1" t="str">
        <f aca="false">IF(A318="","",0.409*SIN(2*PI()*B318/365-1.39))</f>
        <v/>
      </c>
      <c r="D318" s="1" t="str">
        <f aca="false">IF(A318="","",ACOS(-TAN(RADIANS(Dashboard!$B$53))*TAN(C318)))</f>
        <v/>
      </c>
      <c r="E318" s="1" t="str">
        <f aca="false">IF(A318="","",(24*60/PI())*0.082*(1+0.033*COS(2*PI()*B318/365))*(D318*SIN(RADIANS(Dashboard!$B$53))*SIN(C318)+COS(RADIANS(Dashboard!$B$53))*COS(C318)*SIN(D318)))</f>
        <v/>
      </c>
      <c r="F318" s="1" t="str">
        <f aca="false">IF(A318="","",24/PI()*D318)</f>
        <v/>
      </c>
      <c r="H318" s="1" t="n">
        <v>314</v>
      </c>
      <c r="I318" s="1" t="n">
        <f aca="false">0.409*SIN(2*PI()*H318/365-1.39)</f>
        <v>-0.313575841090211</v>
      </c>
      <c r="J318" s="1" t="n">
        <f aca="false">ACOS(-TAN(RADIANS(Dashboard!$B$53))*TAN(I318))</f>
        <v>1.47459343057003</v>
      </c>
      <c r="K318" s="1" t="n">
        <f aca="false">(24*60/PI())*0.082*(1+0.033*COS(2*PI()*H318/365))*(J318*SIN(RADIANS(Dashboard!$B$53))*SIN(I318)+COS(RADIANS(Dashboard!$B$53))*COS(I318)*SIN(J318))</f>
        <v>29.8836839458782</v>
      </c>
      <c r="L318" s="1" t="n">
        <f aca="false">24/PI()*J318</f>
        <v>11.2650640092507</v>
      </c>
    </row>
    <row r="319" customFormat="false" ht="15" hidden="false" customHeight="true" outlineLevel="0" collapsed="false">
      <c r="A319" s="1" t="str">
        <f aca="false">IF(OR(A318="",A318&gt;=Dashboard!$B$55),"",A318+1)</f>
        <v/>
      </c>
      <c r="B319" s="1" t="str">
        <f aca="false">IF(A319="","",A319-DATE(YEAR(A319),1,0))</f>
        <v/>
      </c>
      <c r="C319" s="1" t="str">
        <f aca="false">IF(A319="","",0.409*SIN(2*PI()*B319/365-1.39))</f>
        <v/>
      </c>
      <c r="D319" s="1" t="str">
        <f aca="false">IF(A319="","",ACOS(-TAN(RADIANS(Dashboard!$B$53))*TAN(C319)))</f>
        <v/>
      </c>
      <c r="E319" s="1" t="str">
        <f aca="false">IF(A319="","",(24*60/PI())*0.082*(1+0.033*COS(2*PI()*B319/365))*(D319*SIN(RADIANS(Dashboard!$B$53))*SIN(C319)+COS(RADIANS(Dashboard!$B$53))*COS(C319)*SIN(D319)))</f>
        <v/>
      </c>
      <c r="F319" s="1" t="str">
        <f aca="false">IF(A319="","",24/PI()*D319)</f>
        <v/>
      </c>
      <c r="H319" s="1" t="n">
        <v>315</v>
      </c>
      <c r="I319" s="1" t="n">
        <f aca="false">0.409*SIN(2*PI()*H319/365-1.39)</f>
        <v>-0.31804936072139</v>
      </c>
      <c r="J319" s="1" t="n">
        <f aca="false">ACOS(-TAN(RADIANS(Dashboard!$B$53))*TAN(I319))</f>
        <v>1.47311991661454</v>
      </c>
      <c r="K319" s="1" t="n">
        <f aca="false">(24*60/PI())*0.082*(1+0.033*COS(2*PI()*H319/365))*(J319*SIN(RADIANS(Dashboard!$B$53))*SIN(I319)+COS(RADIANS(Dashboard!$B$53))*COS(I319)*SIN(J319))</f>
        <v>29.7771322350817</v>
      </c>
      <c r="L319" s="1" t="n">
        <f aca="false">24/PI()*J319</f>
        <v>11.2538071918236</v>
      </c>
    </row>
    <row r="320" customFormat="false" ht="15" hidden="false" customHeight="true" outlineLevel="0" collapsed="false">
      <c r="A320" s="1" t="str">
        <f aca="false">IF(OR(A319="",A319&gt;=Dashboard!$B$55),"",A319+1)</f>
        <v/>
      </c>
      <c r="B320" s="1" t="str">
        <f aca="false">IF(A320="","",A320-DATE(YEAR(A320),1,0))</f>
        <v/>
      </c>
      <c r="C320" s="1" t="str">
        <f aca="false">IF(A320="","",0.409*SIN(2*PI()*B320/365-1.39))</f>
        <v/>
      </c>
      <c r="D320" s="1" t="str">
        <f aca="false">IF(A320="","",ACOS(-TAN(RADIANS(Dashboard!$B$53))*TAN(C320)))</f>
        <v/>
      </c>
      <c r="E320" s="1" t="str">
        <f aca="false">IF(A320="","",(24*60/PI())*0.082*(1+0.033*COS(2*PI()*B320/365))*(D320*SIN(RADIANS(Dashboard!$B$53))*SIN(C320)+COS(RADIANS(Dashboard!$B$53))*COS(C320)*SIN(D320)))</f>
        <v/>
      </c>
      <c r="F320" s="1" t="str">
        <f aca="false">IF(A320="","",24/PI()*D320)</f>
        <v/>
      </c>
      <c r="H320" s="1" t="n">
        <v>316</v>
      </c>
      <c r="I320" s="1" t="n">
        <f aca="false">0.409*SIN(2*PI()*H320/365-1.39)</f>
        <v>-0.32242863546292</v>
      </c>
      <c r="J320" s="1" t="n">
        <f aca="false">ACOS(-TAN(RADIANS(Dashboard!$B$53))*TAN(I320))</f>
        <v>1.47167302872149</v>
      </c>
      <c r="K320" s="1" t="n">
        <f aca="false">(24*60/PI())*0.082*(1+0.033*COS(2*PI()*H320/365))*(J320*SIN(RADIANS(Dashboard!$B$53))*SIN(I320)+COS(RADIANS(Dashboard!$B$53))*COS(I320)*SIN(J320))</f>
        <v>29.6723034643189</v>
      </c>
      <c r="L320" s="1" t="n">
        <f aca="false">24/PI()*J320</f>
        <v>11.2427537825302</v>
      </c>
    </row>
    <row r="321" customFormat="false" ht="15" hidden="false" customHeight="true" outlineLevel="0" collapsed="false">
      <c r="A321" s="1" t="str">
        <f aca="false">IF(OR(A320="",A320&gt;=Dashboard!$B$55),"",A320+1)</f>
        <v/>
      </c>
      <c r="B321" s="1" t="str">
        <f aca="false">IF(A321="","",A321-DATE(YEAR(A321),1,0))</f>
        <v/>
      </c>
      <c r="C321" s="1" t="str">
        <f aca="false">IF(A321="","",0.409*SIN(2*PI()*B321/365-1.39))</f>
        <v/>
      </c>
      <c r="D321" s="1" t="str">
        <f aca="false">IF(A321="","",ACOS(-TAN(RADIANS(Dashboard!$B$53))*TAN(C321)))</f>
        <v/>
      </c>
      <c r="E321" s="1" t="str">
        <f aca="false">IF(A321="","",(24*60/PI())*0.082*(1+0.033*COS(2*PI()*B321/365))*(D321*SIN(RADIANS(Dashboard!$B$53))*SIN(C321)+COS(RADIANS(Dashboard!$B$53))*COS(C321)*SIN(D321)))</f>
        <v/>
      </c>
      <c r="F321" s="1" t="str">
        <f aca="false">IF(A321="","",24/PI()*D321)</f>
        <v/>
      </c>
      <c r="H321" s="1" t="n">
        <v>317</v>
      </c>
      <c r="I321" s="1" t="n">
        <f aca="false">0.409*SIN(2*PI()*H321/365-1.39)</f>
        <v>-0.326712367641182</v>
      </c>
      <c r="J321" s="1" t="n">
        <f aca="false">ACOS(-TAN(RADIANS(Dashboard!$B$53))*TAN(I321))</f>
        <v>1.47025340351867</v>
      </c>
      <c r="K321" s="1" t="n">
        <f aca="false">(24*60/PI())*0.082*(1+0.033*COS(2*PI()*H321/365))*(J321*SIN(RADIANS(Dashboard!$B$53))*SIN(I321)+COS(RADIANS(Dashboard!$B$53))*COS(I321)*SIN(J321))</f>
        <v>29.569268377034</v>
      </c>
      <c r="L321" s="1" t="n">
        <f aca="false">24/PI()*J321</f>
        <v>11.2319086448486</v>
      </c>
    </row>
    <row r="322" customFormat="false" ht="15" hidden="false" customHeight="true" outlineLevel="0" collapsed="false">
      <c r="A322" s="1" t="str">
        <f aca="false">IF(OR(A321="",A321&gt;=Dashboard!$B$55),"",A321+1)</f>
        <v/>
      </c>
      <c r="B322" s="1" t="str">
        <f aca="false">IF(A322="","",A322-DATE(YEAR(A322),1,0))</f>
        <v/>
      </c>
      <c r="C322" s="1" t="str">
        <f aca="false">IF(A322="","",0.409*SIN(2*PI()*B322/365-1.39))</f>
        <v/>
      </c>
      <c r="D322" s="1" t="str">
        <f aca="false">IF(A322="","",ACOS(-TAN(RADIANS(Dashboard!$B$53))*TAN(C322)))</f>
        <v/>
      </c>
      <c r="E322" s="1" t="str">
        <f aca="false">IF(A322="","",(24*60/PI())*0.082*(1+0.033*COS(2*PI()*B322/365))*(D322*SIN(RADIANS(Dashboard!$B$53))*SIN(C322)+COS(RADIANS(Dashboard!$B$53))*COS(C322)*SIN(D322)))</f>
        <v/>
      </c>
      <c r="F322" s="1" t="str">
        <f aca="false">IF(A322="","",24/PI()*D322)</f>
        <v/>
      </c>
      <c r="H322" s="1" t="n">
        <v>318</v>
      </c>
      <c r="I322" s="1" t="n">
        <f aca="false">0.409*SIN(2*PI()*H322/365-1.39)</f>
        <v>-0.330899287893882</v>
      </c>
      <c r="J322" s="1" t="n">
        <f aca="false">ACOS(-TAN(RADIANS(Dashboard!$B$53))*TAN(I322))</f>
        <v>1.46886167637599</v>
      </c>
      <c r="K322" s="1" t="n">
        <f aca="false">(24*60/PI())*0.082*(1+0.033*COS(2*PI()*H322/365))*(J322*SIN(RADIANS(Dashboard!$B$53))*SIN(I322)+COS(RADIANS(Dashboard!$B$53))*COS(I322)*SIN(J322))</f>
        <v>29.4680966565193</v>
      </c>
      <c r="L322" s="1" t="n">
        <f aca="false">24/PI()*J322</f>
        <v>11.2212766326474</v>
      </c>
    </row>
    <row r="323" customFormat="false" ht="15" hidden="false" customHeight="true" outlineLevel="0" collapsed="false">
      <c r="A323" s="1" t="str">
        <f aca="false">IF(OR(A322="",A322&gt;=Dashboard!$B$55),"",A322+1)</f>
        <v/>
      </c>
      <c r="B323" s="1" t="str">
        <f aca="false">IF(A323="","",A323-DATE(YEAR(A323),1,0))</f>
        <v/>
      </c>
      <c r="C323" s="1" t="str">
        <f aca="false">IF(A323="","",0.409*SIN(2*PI()*B323/365-1.39))</f>
        <v/>
      </c>
      <c r="D323" s="1" t="str">
        <f aca="false">IF(A323="","",ACOS(-TAN(RADIANS(Dashboard!$B$53))*TAN(C323)))</f>
        <v/>
      </c>
      <c r="E323" s="1" t="str">
        <f aca="false">IF(A323="","",(24*60/PI())*0.082*(1+0.033*COS(2*PI()*B323/365))*(D323*SIN(RADIANS(Dashboard!$B$53))*SIN(C323)+COS(RADIANS(Dashboard!$B$53))*COS(C323)*SIN(D323)))</f>
        <v/>
      </c>
      <c r="F323" s="1" t="str">
        <f aca="false">IF(A323="","",24/PI()*D323)</f>
        <v/>
      </c>
      <c r="H323" s="1" t="n">
        <v>319</v>
      </c>
      <c r="I323" s="1" t="n">
        <f aca="false">0.409*SIN(2*PI()*H323/365-1.39)</f>
        <v>-0.334988155546187</v>
      </c>
      <c r="J323" s="1" t="n">
        <f aca="false">ACOS(-TAN(RADIANS(Dashboard!$B$53))*TAN(I323))</f>
        <v>1.46749848067245</v>
      </c>
      <c r="K323" s="1" t="n">
        <f aca="false">(24*60/PI())*0.082*(1+0.033*COS(2*PI()*H323/365))*(J323*SIN(RADIANS(Dashboard!$B$53))*SIN(I323)+COS(RADIANS(Dashboard!$B$53))*COS(I323)*SIN(J323))</f>
        <v>29.3688568669298</v>
      </c>
      <c r="L323" s="1" t="n">
        <f aca="false">24/PI()*J323</f>
        <v>11.2108625845856</v>
      </c>
    </row>
    <row r="324" customFormat="false" ht="15" hidden="false" customHeight="true" outlineLevel="0" collapsed="false">
      <c r="A324" s="1" t="str">
        <f aca="false">IF(OR(A323="",A323&gt;=Dashboard!$B$55),"",A323+1)</f>
        <v/>
      </c>
      <c r="B324" s="1" t="str">
        <f aca="false">IF(A324="","",A324-DATE(YEAR(A324),1,0))</f>
        <v/>
      </c>
      <c r="C324" s="1" t="str">
        <f aca="false">IF(A324="","",0.409*SIN(2*PI()*B324/365-1.39))</f>
        <v/>
      </c>
      <c r="D324" s="1" t="str">
        <f aca="false">IF(A324="","",ACOS(-TAN(RADIANS(Dashboard!$B$53))*TAN(C324)))</f>
        <v/>
      </c>
      <c r="E324" s="1" t="str">
        <f aca="false">IF(A324="","",(24*60/PI())*0.082*(1+0.033*COS(2*PI()*B324/365))*(D324*SIN(RADIANS(Dashboard!$B$53))*SIN(C324)+COS(RADIANS(Dashboard!$B$53))*COS(C324)*SIN(D324)))</f>
        <v/>
      </c>
      <c r="F324" s="1" t="str">
        <f aca="false">IF(A324="","",24/PI()*D324)</f>
        <v/>
      </c>
      <c r="H324" s="1" t="n">
        <v>320</v>
      </c>
      <c r="I324" s="1" t="n">
        <f aca="false">0.409*SIN(2*PI()*H324/365-1.39)</f>
        <v>-0.338977758978368</v>
      </c>
      <c r="J324" s="1" t="n">
        <f aca="false">ACOS(-TAN(RADIANS(Dashboard!$B$53))*TAN(I324))</f>
        <v>1.46616444703782</v>
      </c>
      <c r="K324" s="1" t="n">
        <f aca="false">(24*60/PI())*0.082*(1+0.033*COS(2*PI()*H324/365))*(J324*SIN(RADIANS(Dashboard!$B$53))*SIN(I324)+COS(RADIANS(Dashboard!$B$53))*COS(I324)*SIN(J324))</f>
        <v>29.2716163958171</v>
      </c>
      <c r="L324" s="1" t="n">
        <f aca="false">24/PI()*J324</f>
        <v>11.2006713183199</v>
      </c>
    </row>
    <row r="325" customFormat="false" ht="15" hidden="false" customHeight="true" outlineLevel="0" collapsed="false">
      <c r="A325" s="1" t="str">
        <f aca="false">IF(OR(A324="",A324&gt;=Dashboard!$B$55),"",A324+1)</f>
        <v/>
      </c>
      <c r="B325" s="1" t="str">
        <f aca="false">IF(A325="","",A325-DATE(YEAR(A325),1,0))</f>
        <v/>
      </c>
      <c r="C325" s="1" t="str">
        <f aca="false">IF(A325="","",0.409*SIN(2*PI()*B325/365-1.39))</f>
        <v/>
      </c>
      <c r="D325" s="1" t="str">
        <f aca="false">IF(A325="","",ACOS(-TAN(RADIANS(Dashboard!$B$53))*TAN(C325)))</f>
        <v/>
      </c>
      <c r="E325" s="1" t="str">
        <f aca="false">IF(A325="","",(24*60/PI())*0.082*(1+0.033*COS(2*PI()*B325/365))*(D325*SIN(RADIANS(Dashboard!$B$53))*SIN(C325)+COS(RADIANS(Dashboard!$B$53))*COS(C325)*SIN(D325)))</f>
        <v/>
      </c>
      <c r="F325" s="1" t="str">
        <f aca="false">IF(A325="","",24/PI()*D325)</f>
        <v/>
      </c>
      <c r="H325" s="1" t="n">
        <v>321</v>
      </c>
      <c r="I325" s="1" t="n">
        <f aca="false">0.409*SIN(2*PI()*H325/365-1.39)</f>
        <v>-0.342866915984824</v>
      </c>
      <c r="J325" s="1" t="n">
        <f aca="false">ACOS(-TAN(RADIANS(Dashboard!$B$53))*TAN(I325))</f>
        <v>1.4648602025706</v>
      </c>
      <c r="K325" s="1" t="n">
        <f aca="false">(24*60/PI())*0.082*(1+0.033*COS(2*PI()*H325/365))*(J325*SIN(RADIANS(Dashboard!$B$53))*SIN(I325)+COS(RADIANS(Dashboard!$B$53))*COS(I325)*SIN(J325))</f>
        <v>29.1764413982153</v>
      </c>
      <c r="L325" s="1" t="n">
        <f aca="false">24/PI()*J325</f>
        <v>11.1907076245299</v>
      </c>
    </row>
    <row r="326" customFormat="false" ht="15" hidden="false" customHeight="true" outlineLevel="0" collapsed="false">
      <c r="A326" s="1" t="str">
        <f aca="false">IF(OR(A325="",A325&gt;=Dashboard!$B$55),"",A325+1)</f>
        <v/>
      </c>
      <c r="B326" s="1" t="str">
        <f aca="false">IF(A326="","",A326-DATE(YEAR(A326),1,0))</f>
        <v/>
      </c>
      <c r="C326" s="1" t="str">
        <f aca="false">IF(A326="","",0.409*SIN(2*PI()*B326/365-1.39))</f>
        <v/>
      </c>
      <c r="D326" s="1" t="str">
        <f aca="false">IF(A326="","",ACOS(-TAN(RADIANS(Dashboard!$B$53))*TAN(C326)))</f>
        <v/>
      </c>
      <c r="E326" s="1" t="str">
        <f aca="false">IF(A326="","",(24*60/PI())*0.082*(1+0.033*COS(2*PI()*B326/365))*(D326*SIN(RADIANS(Dashboard!$B$53))*SIN(C326)+COS(RADIANS(Dashboard!$B$53))*COS(C326)*SIN(D326)))</f>
        <v/>
      </c>
      <c r="F326" s="1" t="str">
        <f aca="false">IF(A326="","",24/PI()*D326)</f>
        <v/>
      </c>
      <c r="H326" s="1" t="n">
        <v>322</v>
      </c>
      <c r="I326" s="1" t="n">
        <f aca="false">0.409*SIN(2*PI()*H326/365-1.39)</f>
        <v>-0.3466544741244</v>
      </c>
      <c r="J326" s="1" t="n">
        <f aca="false">ACOS(-TAN(RADIANS(Dashboard!$B$53))*TAN(I326))</f>
        <v>1.46358637003384</v>
      </c>
      <c r="K326" s="1" t="n">
        <f aca="false">(24*60/PI())*0.082*(1+0.033*COS(2*PI()*H326/365))*(J326*SIN(RADIANS(Dashboard!$B$53))*SIN(I326)+COS(RADIANS(Dashboard!$B$53))*COS(I326)*SIN(J326))</f>
        <v>29.0833967423033</v>
      </c>
      <c r="L326" s="1" t="n">
        <f aca="false">24/PI()*J326</f>
        <v>11.1809762607749</v>
      </c>
    </row>
    <row r="327" customFormat="false" ht="15" hidden="false" customHeight="true" outlineLevel="0" collapsed="false">
      <c r="A327" s="1" t="str">
        <f aca="false">IF(OR(A326="",A326&gt;=Dashboard!$B$55),"",A326+1)</f>
        <v/>
      </c>
      <c r="B327" s="1" t="str">
        <f aca="false">IF(A327="","",A327-DATE(YEAR(A327),1,0))</f>
        <v/>
      </c>
      <c r="C327" s="1" t="str">
        <f aca="false">IF(A327="","",0.409*SIN(2*PI()*B327/365-1.39))</f>
        <v/>
      </c>
      <c r="D327" s="1" t="str">
        <f aca="false">IF(A327="","",ACOS(-TAN(RADIANS(Dashboard!$B$53))*TAN(C327)))</f>
        <v/>
      </c>
      <c r="E327" s="1" t="str">
        <f aca="false">IF(A327="","",(24*60/PI())*0.082*(1+0.033*COS(2*PI()*B327/365))*(D327*SIN(RADIANS(Dashboard!$B$53))*SIN(C327)+COS(RADIANS(Dashboard!$B$53))*COS(C327)*SIN(D327)))</f>
        <v/>
      </c>
      <c r="F327" s="1" t="str">
        <f aca="false">IF(A327="","",24/PI()*D327)</f>
        <v/>
      </c>
      <c r="H327" s="1" t="n">
        <v>323</v>
      </c>
      <c r="I327" s="1" t="n">
        <f aca="false">0.409*SIN(2*PI()*H327/365-1.39)</f>
        <v>-0.350339311061876</v>
      </c>
      <c r="J327" s="1" t="n">
        <f aca="false">ACOS(-TAN(RADIANS(Dashboard!$B$53))*TAN(I327))</f>
        <v>1.46234356703069</v>
      </c>
      <c r="K327" s="1" t="n">
        <f aca="false">(24*60/PI())*0.082*(1+0.033*COS(2*PI()*H327/365))*(J327*SIN(RADIANS(Dashboard!$B$53))*SIN(I327)+COS(RADIANS(Dashboard!$B$53))*COS(I327)*SIN(J327))</f>
        <v>28.9925459566687</v>
      </c>
      <c r="L327" s="1" t="n">
        <f aca="false">24/PI()*J327</f>
        <v>11.1714819451953</v>
      </c>
    </row>
    <row r="328" customFormat="false" ht="15" hidden="false" customHeight="true" outlineLevel="0" collapsed="false">
      <c r="A328" s="1" t="str">
        <f aca="false">IF(OR(A327="",A327&gt;=Dashboard!$B$55),"",A327+1)</f>
        <v/>
      </c>
      <c r="B328" s="1" t="str">
        <f aca="false">IF(A328="","",A328-DATE(YEAR(A328),1,0))</f>
        <v/>
      </c>
      <c r="C328" s="1" t="str">
        <f aca="false">IF(A328="","",0.409*SIN(2*PI()*B328/365-1.39))</f>
        <v/>
      </c>
      <c r="D328" s="1" t="str">
        <f aca="false">IF(A328="","",ACOS(-TAN(RADIANS(Dashboard!$B$53))*TAN(C328)))</f>
        <v/>
      </c>
      <c r="E328" s="1" t="str">
        <f aca="false">IF(A328="","",(24*60/PI())*0.082*(1+0.033*COS(2*PI()*B328/365))*(D328*SIN(RADIANS(Dashboard!$B$53))*SIN(C328)+COS(RADIANS(Dashboard!$B$53))*COS(C328)*SIN(D328)))</f>
        <v/>
      </c>
      <c r="F328" s="1" t="str">
        <f aca="false">IF(A328="","",24/PI()*D328)</f>
        <v/>
      </c>
      <c r="H328" s="1" t="n">
        <v>324</v>
      </c>
      <c r="I328" s="1" t="n">
        <f aca="false">0.409*SIN(2*PI()*H328/365-1.39)</f>
        <v>-0.353920334900543</v>
      </c>
      <c r="J328" s="1" t="n">
        <f aca="false">ACOS(-TAN(RADIANS(Dashboard!$B$53))*TAN(I328))</f>
        <v>1.46113240516154</v>
      </c>
      <c r="K328" s="1" t="n">
        <f aca="false">(24*60/PI())*0.082*(1+0.033*COS(2*PI()*H328/365))*(J328*SIN(RADIANS(Dashboard!$B$53))*SIN(I328)+COS(RADIANS(Dashboard!$B$53))*COS(I328)*SIN(J328))</f>
        <v>28.903951179191</v>
      </c>
      <c r="L328" s="1" t="n">
        <f aca="false">24/PI()*J328</f>
        <v>11.162229350074</v>
      </c>
    </row>
    <row r="329" customFormat="false" ht="15" hidden="false" customHeight="true" outlineLevel="0" collapsed="false">
      <c r="A329" s="1" t="str">
        <f aca="false">IF(OR(A328="",A328&gt;=Dashboard!$B$55),"",A328+1)</f>
        <v/>
      </c>
      <c r="B329" s="1" t="str">
        <f aca="false">IF(A329="","",A329-DATE(YEAR(A329),1,0))</f>
        <v/>
      </c>
      <c r="C329" s="1" t="str">
        <f aca="false">IF(A329="","",0.409*SIN(2*PI()*B329/365-1.39))</f>
        <v/>
      </c>
      <c r="D329" s="1" t="str">
        <f aca="false">IF(A329="","",ACOS(-TAN(RADIANS(Dashboard!$B$53))*TAN(C329)))</f>
        <v/>
      </c>
      <c r="E329" s="1" t="str">
        <f aca="false">IF(A329="","",(24*60/PI())*0.082*(1+0.033*COS(2*PI()*B329/365))*(D329*SIN(RADIANS(Dashboard!$B$53))*SIN(C329)+COS(RADIANS(Dashboard!$B$53))*COS(C329)*SIN(D329)))</f>
        <v/>
      </c>
      <c r="F329" s="1" t="str">
        <f aca="false">IF(A329="","",24/PI()*D329)</f>
        <v/>
      </c>
      <c r="H329" s="1" t="n">
        <v>325</v>
      </c>
      <c r="I329" s="1" t="n">
        <f aca="false">0.409*SIN(2*PI()*H329/365-1.39)</f>
        <v>-0.357396484505753</v>
      </c>
      <c r="J329" s="1" t="n">
        <f aca="false">ACOS(-TAN(RADIANS(Dashboard!$B$53))*TAN(I329))</f>
        <v>1.45995348916483</v>
      </c>
      <c r="K329" s="1" t="n">
        <f aca="false">(24*60/PI())*0.082*(1+0.033*COS(2*PI()*H329/365))*(J329*SIN(RADIANS(Dashboard!$B$53))*SIN(I329)+COS(RADIANS(Dashboard!$B$53))*COS(I329)*SIN(J329))</f>
        <v>28.8176731075581</v>
      </c>
      <c r="L329" s="1" t="n">
        <f aca="false">24/PI()*J329</f>
        <v>11.1532230952725</v>
      </c>
    </row>
    <row r="330" customFormat="false" ht="15" hidden="false" customHeight="true" outlineLevel="0" collapsed="false">
      <c r="A330" s="1" t="str">
        <f aca="false">IF(OR(A329="",A329&gt;=Dashboard!$B$55),"",A329+1)</f>
        <v/>
      </c>
      <c r="B330" s="1" t="str">
        <f aca="false">IF(A330="","",A330-DATE(YEAR(A330),1,0))</f>
        <v/>
      </c>
      <c r="C330" s="1" t="str">
        <f aca="false">IF(A330="","",0.409*SIN(2*PI()*B330/365-1.39))</f>
        <v/>
      </c>
      <c r="D330" s="1" t="str">
        <f aca="false">IF(A330="","",ACOS(-TAN(RADIANS(Dashboard!$B$53))*TAN(C330)))</f>
        <v/>
      </c>
      <c r="E330" s="1" t="str">
        <f aca="false">IF(A330="","",(24*60/PI())*0.082*(1+0.033*COS(2*PI()*B330/365))*(D330*SIN(RADIANS(Dashboard!$B$53))*SIN(C330)+COS(RADIANS(Dashboard!$B$53))*COS(C330)*SIN(D330)))</f>
        <v/>
      </c>
      <c r="F330" s="1" t="str">
        <f aca="false">IF(A330="","",24/PI()*D330)</f>
        <v/>
      </c>
      <c r="H330" s="1" t="n">
        <v>326</v>
      </c>
      <c r="I330" s="1" t="n">
        <f aca="false">0.409*SIN(2*PI()*H330/365-1.39)</f>
        <v>-0.360766729819356</v>
      </c>
      <c r="J330" s="1" t="n">
        <f aca="false">ACOS(-TAN(RADIANS(Dashboard!$B$53))*TAN(I330))</f>
        <v>1.45880741604379</v>
      </c>
      <c r="K330" s="1" t="n">
        <f aca="false">(24*60/PI())*0.082*(1+0.033*COS(2*PI()*H330/365))*(J330*SIN(RADIANS(Dashboard!$B$53))*SIN(I330)+COS(RADIANS(Dashboard!$B$53))*COS(I330)*SIN(J330))</f>
        <v>28.7337709514301</v>
      </c>
      <c r="L330" s="1" t="n">
        <f aca="false">24/PI()*J330</f>
        <v>11.1444677415592</v>
      </c>
    </row>
    <row r="331" customFormat="false" ht="15" hidden="false" customHeight="true" outlineLevel="0" collapsed="false">
      <c r="A331" s="1" t="str">
        <f aca="false">IF(OR(A330="",A330&gt;=Dashboard!$B$55),"",A330+1)</f>
        <v/>
      </c>
      <c r="B331" s="1" t="str">
        <f aca="false">IF(A331="","",A331-DATE(YEAR(A331),1,0))</f>
        <v/>
      </c>
      <c r="C331" s="1" t="str">
        <f aca="false">IF(A331="","",0.409*SIN(2*PI()*B331/365-1.39))</f>
        <v/>
      </c>
      <c r="D331" s="1" t="str">
        <f aca="false">IF(A331="","",ACOS(-TAN(RADIANS(Dashboard!$B$53))*TAN(C331)))</f>
        <v/>
      </c>
      <c r="E331" s="1" t="str">
        <f aca="false">IF(A331="","",(24*60/PI())*0.082*(1+0.033*COS(2*PI()*B331/365))*(D331*SIN(RADIANS(Dashboard!$B$53))*SIN(C331)+COS(RADIANS(Dashboard!$B$53))*COS(C331)*SIN(D331)))</f>
        <v/>
      </c>
      <c r="F331" s="1" t="str">
        <f aca="false">IF(A331="","",24/PI()*D331)</f>
        <v/>
      </c>
      <c r="H331" s="1" t="n">
        <v>327</v>
      </c>
      <c r="I331" s="1" t="n">
        <f aca="false">0.409*SIN(2*PI()*H331/365-1.39)</f>
        <v>-0.364030072164929</v>
      </c>
      <c r="J331" s="1" t="n">
        <f aca="false">ACOS(-TAN(RADIANS(Dashboard!$B$53))*TAN(I331))</f>
        <v>1.45769477418127</v>
      </c>
      <c r="K331" s="1" t="n">
        <f aca="false">(24*60/PI())*0.082*(1+0.033*COS(2*PI()*H331/365))*(J331*SIN(RADIANS(Dashboard!$B$53))*SIN(I331)+COS(RADIANS(Dashboard!$B$53))*COS(I331)*SIN(J331))</f>
        <v>28.6523023862549</v>
      </c>
      <c r="L331" s="1" t="n">
        <f aca="false">24/PI()*J331</f>
        <v>11.1359677838483</v>
      </c>
    </row>
    <row r="332" customFormat="false" ht="15" hidden="false" customHeight="true" outlineLevel="0" collapsed="false">
      <c r="A332" s="1" t="str">
        <f aca="false">IF(OR(A331="",A331&gt;=Dashboard!$B$55),"",A331+1)</f>
        <v/>
      </c>
      <c r="B332" s="1" t="str">
        <f aca="false">IF(A332="","",A332-DATE(YEAR(A332),1,0))</f>
        <v/>
      </c>
      <c r="C332" s="1" t="str">
        <f aca="false">IF(A332="","",0.409*SIN(2*PI()*B332/365-1.39))</f>
        <v/>
      </c>
      <c r="D332" s="1" t="str">
        <f aca="false">IF(A332="","",ACOS(-TAN(RADIANS(Dashboard!$B$53))*TAN(C332)))</f>
        <v/>
      </c>
      <c r="E332" s="1" t="str">
        <f aca="false">IF(A332="","",(24*60/PI())*0.082*(1+0.033*COS(2*PI()*B332/365))*(D332*SIN(RADIANS(Dashboard!$B$53))*SIN(C332)+COS(RADIANS(Dashboard!$B$53))*COS(C332)*SIN(D332)))</f>
        <v/>
      </c>
      <c r="F332" s="1" t="str">
        <f aca="false">IF(A332="","",24/PI()*D332)</f>
        <v/>
      </c>
      <c r="H332" s="1" t="n">
        <v>328</v>
      </c>
      <c r="I332" s="1" t="n">
        <f aca="false">0.409*SIN(2*PI()*H332/365-1.39)</f>
        <v>-0.367185544543708</v>
      </c>
      <c r="J332" s="1" t="n">
        <f aca="false">ACOS(-TAN(RADIANS(Dashboard!$B$53))*TAN(I332))</f>
        <v>1.45661614244534</v>
      </c>
      <c r="K332" s="1" t="n">
        <f aca="false">(24*60/PI())*0.082*(1+0.033*COS(2*PI()*H332/365))*(J332*SIN(RADIANS(Dashboard!$B$53))*SIN(I332)+COS(RADIANS(Dashboard!$B$53))*COS(I332)*SIN(J332))</f>
        <v>28.5733235087426</v>
      </c>
      <c r="L332" s="1" t="n">
        <f aca="false">24/PI()*J332</f>
        <v>11.127727644366</v>
      </c>
    </row>
    <row r="333" customFormat="false" ht="15" hidden="false" customHeight="true" outlineLevel="0" collapsed="false">
      <c r="A333" s="1" t="str">
        <f aca="false">IF(OR(A332="",A332&gt;=Dashboard!$B$55),"",A332+1)</f>
        <v/>
      </c>
      <c r="B333" s="1" t="str">
        <f aca="false">IF(A333="","",A333-DATE(YEAR(A333),1,0))</f>
        <v/>
      </c>
      <c r="C333" s="1" t="str">
        <f aca="false">IF(A333="","",0.409*SIN(2*PI()*B333/365-1.39))</f>
        <v/>
      </c>
      <c r="D333" s="1" t="str">
        <f aca="false">IF(A333="","",ACOS(-TAN(RADIANS(Dashboard!$B$53))*TAN(C333)))</f>
        <v/>
      </c>
      <c r="E333" s="1" t="str">
        <f aca="false">IF(A333="","",(24*60/PI())*0.082*(1+0.033*COS(2*PI()*B333/365))*(D333*SIN(RADIANS(Dashboard!$B$53))*SIN(C333)+COS(RADIANS(Dashboard!$B$53))*COS(C333)*SIN(D333)))</f>
        <v/>
      </c>
      <c r="F333" s="1" t="str">
        <f aca="false">IF(A333="","",24/PI()*D333)</f>
        <v/>
      </c>
      <c r="H333" s="1" t="n">
        <v>329</v>
      </c>
      <c r="I333" s="1" t="n">
        <f aca="false">0.409*SIN(2*PI()*H333/365-1.39)</f>
        <v>-0.370232211921125</v>
      </c>
      <c r="J333" s="1" t="n">
        <f aca="false">ACOS(-TAN(RADIANS(Dashboard!$B$53))*TAN(I333))</f>
        <v>1.45557208928797</v>
      </c>
      <c r="K333" s="1" t="n">
        <f aca="false">(24*60/PI())*0.082*(1+0.033*COS(2*PI()*H333/365))*(J333*SIN(RADIANS(Dashboard!$B$53))*SIN(I333)+COS(RADIANS(Dashboard!$B$53))*COS(I333)*SIN(J333))</f>
        <v>28.4968887939981</v>
      </c>
      <c r="L333" s="1" t="n">
        <f aca="false">24/PI()*J333</f>
        <v>11.1197516657654</v>
      </c>
    </row>
    <row r="334" customFormat="false" ht="15" hidden="false" customHeight="true" outlineLevel="0" collapsed="false">
      <c r="A334" s="1" t="str">
        <f aca="false">IF(OR(A333="",A333&gt;=Dashboard!$B$55),"",A333+1)</f>
        <v/>
      </c>
      <c r="B334" s="1" t="str">
        <f aca="false">IF(A334="","",A334-DATE(YEAR(A334),1,0))</f>
        <v/>
      </c>
      <c r="C334" s="1" t="str">
        <f aca="false">IF(A334="","",0.409*SIN(2*PI()*B334/365-1.39))</f>
        <v/>
      </c>
      <c r="D334" s="1" t="str">
        <f aca="false">IF(A334="","",ACOS(-TAN(RADIANS(Dashboard!$B$53))*TAN(C334)))</f>
        <v/>
      </c>
      <c r="E334" s="1" t="str">
        <f aca="false">IF(A334="","",(24*60/PI())*0.082*(1+0.033*COS(2*PI()*B334/365))*(D334*SIN(RADIANS(Dashboard!$B$53))*SIN(C334)+COS(RADIANS(Dashboard!$B$53))*COS(C334)*SIN(D334)))</f>
        <v/>
      </c>
      <c r="F334" s="1" t="str">
        <f aca="false">IF(A334="","",24/PI()*D334)</f>
        <v/>
      </c>
      <c r="H334" s="1" t="n">
        <v>330</v>
      </c>
      <c r="I334" s="1" t="n">
        <f aca="false">0.409*SIN(2*PI()*H334/365-1.39)</f>
        <v>-0.373169171503885</v>
      </c>
      <c r="J334" s="1" t="n">
        <f aca="false">ACOS(-TAN(RADIANS(Dashboard!$B$53))*TAN(I334))</f>
        <v>1.4545631718396</v>
      </c>
      <c r="K334" s="1" t="n">
        <f aca="false">(24*60/PI())*0.082*(1+0.033*COS(2*PI()*H334/365))*(J334*SIN(RADIANS(Dashboard!$B$53))*SIN(I334)+COS(RADIANS(Dashboard!$B$53))*COS(I334)*SIN(J334))</f>
        <v>28.4230510543111</v>
      </c>
      <c r="L334" s="1" t="n">
        <f aca="false">24/PI()*J334</f>
        <v>11.1120441042095</v>
      </c>
    </row>
    <row r="335" customFormat="false" ht="15" hidden="false" customHeight="true" outlineLevel="0" collapsed="false">
      <c r="A335" s="1" t="str">
        <f aca="false">IF(OR(A334="",A334&gt;=Dashboard!$B$55),"",A334+1)</f>
        <v/>
      </c>
      <c r="B335" s="1" t="str">
        <f aca="false">IF(A335="","",A335-DATE(YEAR(A335),1,0))</f>
        <v/>
      </c>
      <c r="C335" s="1" t="str">
        <f aca="false">IF(A335="","",0.409*SIN(2*PI()*B335/365-1.39))</f>
        <v/>
      </c>
      <c r="D335" s="1" t="str">
        <f aca="false">IF(A335="","",ACOS(-TAN(RADIANS(Dashboard!$B$53))*TAN(C335)))</f>
        <v/>
      </c>
      <c r="E335" s="1" t="str">
        <f aca="false">IF(A335="","",(24*60/PI())*0.082*(1+0.033*COS(2*PI()*B335/365))*(D335*SIN(RADIANS(Dashboard!$B$53))*SIN(C335)+COS(RADIANS(Dashboard!$B$53))*COS(C335)*SIN(D335)))</f>
        <v/>
      </c>
      <c r="F335" s="1" t="str">
        <f aca="false">IF(A335="","",24/PI()*D335)</f>
        <v/>
      </c>
      <c r="H335" s="1" t="n">
        <v>331</v>
      </c>
      <c r="I335" s="1" t="n">
        <f aca="false">0.409*SIN(2*PI()*H335/365-1.39)</f>
        <v>-0.375995553007477</v>
      </c>
      <c r="J335" s="1" t="n">
        <f aca="false">ACOS(-TAN(RADIANS(Dashboard!$B$53))*TAN(I335))</f>
        <v>1.4535899350023</v>
      </c>
      <c r="K335" s="1" t="n">
        <f aca="false">(24*60/PI())*0.082*(1+0.033*COS(2*PI()*H335/365))*(J335*SIN(RADIANS(Dashboard!$B$53))*SIN(I335)+COS(RADIANS(Dashboard!$B$53))*COS(I335)*SIN(J335))</f>
        <v>28.3518613995983</v>
      </c>
      <c r="L335" s="1" t="n">
        <f aca="false">24/PI()*J335</f>
        <v>11.1046091224437</v>
      </c>
    </row>
    <row r="336" customFormat="false" ht="15" hidden="false" customHeight="true" outlineLevel="0" collapsed="false">
      <c r="A336" s="1" t="str">
        <f aca="false">IF(OR(A335="",A335&gt;=Dashboard!$B$55),"",A335+1)</f>
        <v/>
      </c>
      <c r="B336" s="1" t="str">
        <f aca="false">IF(A336="","",A336-DATE(YEAR(A336),1,0))</f>
        <v/>
      </c>
      <c r="C336" s="1" t="str">
        <f aca="false">IF(A336="","",0.409*SIN(2*PI()*B336/365-1.39))</f>
        <v/>
      </c>
      <c r="D336" s="1" t="str">
        <f aca="false">IF(A336="","",ACOS(-TAN(RADIANS(Dashboard!$B$53))*TAN(C336)))</f>
        <v/>
      </c>
      <c r="E336" s="1" t="str">
        <f aca="false">IF(A336="","",(24*60/PI())*0.082*(1+0.033*COS(2*PI()*B336/365))*(D336*SIN(RADIANS(Dashboard!$B$53))*SIN(C336)+COS(RADIANS(Dashboard!$B$53))*COS(C336)*SIN(D336)))</f>
        <v/>
      </c>
      <c r="F336" s="1" t="str">
        <f aca="false">IF(A336="","",24/PI()*D336)</f>
        <v/>
      </c>
      <c r="H336" s="1" t="n">
        <v>332</v>
      </c>
      <c r="I336" s="1" t="n">
        <f aca="false">0.409*SIN(2*PI()*H336/365-1.39)</f>
        <v>-0.378710518914065</v>
      </c>
      <c r="J336" s="1" t="n">
        <f aca="false">ACOS(-TAN(RADIANS(Dashboard!$B$53))*TAN(I336))</f>
        <v>1.45265291054436</v>
      </c>
      <c r="K336" s="1" t="n">
        <f aca="false">(24*60/PI())*0.082*(1+0.033*COS(2*PI()*H336/365))*(J336*SIN(RADIANS(Dashboard!$B$53))*SIN(I336)+COS(RADIANS(Dashboard!$B$53))*COS(I336)*SIN(J336))</f>
        <v>28.2833691994903</v>
      </c>
      <c r="L336" s="1" t="n">
        <f aca="false">24/PI()*J336</f>
        <v>11.0974507828782</v>
      </c>
    </row>
    <row r="337" customFormat="false" ht="15" hidden="false" customHeight="true" outlineLevel="0" collapsed="false">
      <c r="A337" s="1" t="str">
        <f aca="false">IF(OR(A336="",A336&gt;=Dashboard!$B$55),"",A336+1)</f>
        <v/>
      </c>
      <c r="B337" s="1" t="str">
        <f aca="false">IF(A337="","",A337-DATE(YEAR(A337),1,0))</f>
        <v/>
      </c>
      <c r="C337" s="1" t="str">
        <f aca="false">IF(A337="","",0.409*SIN(2*PI()*B337/365-1.39))</f>
        <v/>
      </c>
      <c r="D337" s="1" t="str">
        <f aca="false">IF(A337="","",ACOS(-TAN(RADIANS(Dashboard!$B$53))*TAN(C337)))</f>
        <v/>
      </c>
      <c r="E337" s="1" t="str">
        <f aca="false">IF(A337="","",(24*60/PI())*0.082*(1+0.033*COS(2*PI()*B337/365))*(D337*SIN(RADIANS(Dashboard!$B$53))*SIN(C337)+COS(RADIANS(Dashboard!$B$53))*COS(C337)*SIN(D337)))</f>
        <v/>
      </c>
      <c r="F337" s="1" t="str">
        <f aca="false">IF(A337="","",24/PI()*D337)</f>
        <v/>
      </c>
      <c r="H337" s="1" t="n">
        <v>333</v>
      </c>
      <c r="I337" s="1" t="n">
        <f aca="false">0.409*SIN(2*PI()*H337/365-1.39)</f>
        <v>-0.381313264720657</v>
      </c>
      <c r="J337" s="1" t="n">
        <f aca="false">ACOS(-TAN(RADIANS(Dashboard!$B$53))*TAN(I337))</f>
        <v>1.45175261619918</v>
      </c>
      <c r="K337" s="1" t="n">
        <f aca="false">(24*60/PI())*0.082*(1+0.033*COS(2*PI()*H337/365))*(J337*SIN(RADIANS(Dashboard!$B$53))*SIN(I337)+COS(RADIANS(Dashboard!$B$53))*COS(I337)*SIN(J337))</f>
        <v>28.2176220470549</v>
      </c>
      <c r="L337" s="1" t="n">
        <f aca="false">24/PI()*J337</f>
        <v>11.0905730407051</v>
      </c>
    </row>
    <row r="338" customFormat="false" ht="15" hidden="false" customHeight="true" outlineLevel="0" collapsed="false">
      <c r="A338" s="1" t="str">
        <f aca="false">IF(OR(A337="",A337&gt;=Dashboard!$B$55),"",A337+1)</f>
        <v/>
      </c>
      <c r="B338" s="1" t="str">
        <f aca="false">IF(A338="","",A338-DATE(YEAR(A338),1,0))</f>
        <v/>
      </c>
      <c r="C338" s="1" t="str">
        <f aca="false">IF(A338="","",0.409*SIN(2*PI()*B338/365-1.39))</f>
        <v/>
      </c>
      <c r="D338" s="1" t="str">
        <f aca="false">IF(A338="","",ACOS(-TAN(RADIANS(Dashboard!$B$53))*TAN(C338)))</f>
        <v/>
      </c>
      <c r="E338" s="1" t="str">
        <f aca="false">IF(A338="","",(24*60/PI())*0.082*(1+0.033*COS(2*PI()*B338/365))*(D338*SIN(RADIANS(Dashboard!$B$53))*SIN(C338)+COS(RADIANS(Dashboard!$B$53))*COS(C338)*SIN(D338)))</f>
        <v/>
      </c>
      <c r="F338" s="1" t="str">
        <f aca="false">IF(A338="","",24/PI()*D338)</f>
        <v/>
      </c>
      <c r="H338" s="1" t="n">
        <v>334</v>
      </c>
      <c r="I338" s="1" t="n">
        <f aca="false">0.409*SIN(2*PI()*H338/365-1.39)</f>
        <v>-0.383803019177497</v>
      </c>
      <c r="J338" s="1" t="n">
        <f aca="false">ACOS(-TAN(RADIANS(Dashboard!$B$53))*TAN(I338))</f>
        <v>1.45088955477151</v>
      </c>
      <c r="K338" s="1" t="n">
        <f aca="false">(24*60/PI())*0.082*(1+0.033*COS(2*PI()*H338/365))*(J338*SIN(RADIANS(Dashboard!$B$53))*SIN(I338)+COS(RADIANS(Dashboard!$B$53))*COS(I338)*SIN(J338))</f>
        <v>28.1546657241434</v>
      </c>
      <c r="L338" s="1" t="n">
        <f aca="false">24/PI()*J338</f>
        <v>11.0839797370697</v>
      </c>
    </row>
    <row r="339" customFormat="false" ht="15" hidden="false" customHeight="true" outlineLevel="0" collapsed="false">
      <c r="A339" s="1" t="str">
        <f aca="false">IF(OR(A338="",A338&gt;=Dashboard!$B$55),"",A338+1)</f>
        <v/>
      </c>
      <c r="B339" s="1" t="str">
        <f aca="false">IF(A339="","",A339-DATE(YEAR(A339),1,0))</f>
        <v/>
      </c>
      <c r="C339" s="1" t="str">
        <f aca="false">IF(A339="","",0.409*SIN(2*PI()*B339/365-1.39))</f>
        <v/>
      </c>
      <c r="D339" s="1" t="str">
        <f aca="false">IF(A339="","",ACOS(-TAN(RADIANS(Dashboard!$B$53))*TAN(C339)))</f>
        <v/>
      </c>
      <c r="E339" s="1" t="str">
        <f aca="false">IF(A339="","",(24*60/PI())*0.082*(1+0.033*COS(2*PI()*B339/365))*(D339*SIN(RADIANS(Dashboard!$B$53))*SIN(C339)+COS(RADIANS(Dashboard!$B$53))*COS(C339)*SIN(D339)))</f>
        <v/>
      </c>
      <c r="F339" s="1" t="str">
        <f aca="false">IF(A339="","",24/PI()*D339)</f>
        <v/>
      </c>
      <c r="H339" s="1" t="n">
        <v>335</v>
      </c>
      <c r="I339" s="1" t="n">
        <f aca="false">0.409*SIN(2*PI()*H339/365-1.39)</f>
        <v>-0.386179044516607</v>
      </c>
      <c r="J339" s="1" t="n">
        <f aca="false">ACOS(-TAN(RADIANS(Dashboard!$B$53))*TAN(I339))</f>
        <v>1.45006421325397</v>
      </c>
      <c r="K339" s="1" t="n">
        <f aca="false">(24*60/PI())*0.082*(1+0.033*COS(2*PI()*H339/365))*(J339*SIN(RADIANS(Dashboard!$B$53))*SIN(I339)+COS(RADIANS(Dashboard!$B$53))*COS(I339)*SIN(J339))</f>
        <v>28.0945441683475</v>
      </c>
      <c r="L339" s="1" t="n">
        <f aca="false">24/PI()*J339</f>
        <v>11.0776745923214</v>
      </c>
    </row>
    <row r="340" customFormat="false" ht="15" hidden="false" customHeight="true" outlineLevel="0" collapsed="false">
      <c r="A340" s="1" t="str">
        <f aca="false">IF(OR(A339="",A339&gt;=Dashboard!$B$55),"",A339+1)</f>
        <v/>
      </c>
      <c r="B340" s="1" t="str">
        <f aca="false">IF(A340="","",A340-DATE(YEAR(A340),1,0))</f>
        <v/>
      </c>
      <c r="C340" s="1" t="str">
        <f aca="false">IF(A340="","",0.409*SIN(2*PI()*B340/365-1.39))</f>
        <v/>
      </c>
      <c r="D340" s="1" t="str">
        <f aca="false">IF(A340="","",ACOS(-TAN(RADIANS(Dashboard!$B$53))*TAN(C340)))</f>
        <v/>
      </c>
      <c r="E340" s="1" t="str">
        <f aca="false">IF(A340="","",(24*60/PI())*0.082*(1+0.033*COS(2*PI()*B340/365))*(D340*SIN(RADIANS(Dashboard!$B$53))*SIN(C340)+COS(RADIANS(Dashboard!$B$53))*COS(C340)*SIN(D340)))</f>
        <v/>
      </c>
      <c r="F340" s="1" t="str">
        <f aca="false">IF(A340="","",24/PI()*D340)</f>
        <v/>
      </c>
      <c r="H340" s="1" t="n">
        <v>336</v>
      </c>
      <c r="I340" s="1" t="n">
        <f aca="false">0.409*SIN(2*PI()*H340/365-1.39)</f>
        <v>-0.388440636670401</v>
      </c>
      <c r="J340" s="1" t="n">
        <f aca="false">ACOS(-TAN(RADIANS(Dashboard!$B$53))*TAN(I340))</f>
        <v>1.44927706195684</v>
      </c>
      <c r="K340" s="1" t="n">
        <f aca="false">(24*60/PI())*0.082*(1+0.033*COS(2*PI()*H340/365))*(J340*SIN(RADIANS(Dashboard!$B$53))*SIN(I340)+COS(RADIANS(Dashboard!$B$53))*COS(I340)*SIN(J340))</f>
        <v>28.037299441551</v>
      </c>
      <c r="L340" s="1" t="n">
        <f aca="false">24/PI()*J340</f>
        <v>11.0716611993662</v>
      </c>
    </row>
    <row r="341" customFormat="false" ht="15" hidden="false" customHeight="true" outlineLevel="0" collapsed="false">
      <c r="A341" s="1" t="str">
        <f aca="false">IF(OR(A340="",A340&gt;=Dashboard!$B$55),"",A340+1)</f>
        <v/>
      </c>
      <c r="B341" s="1" t="str">
        <f aca="false">IF(A341="","",A341-DATE(YEAR(A341),1,0))</f>
        <v/>
      </c>
      <c r="C341" s="1" t="str">
        <f aca="false">IF(A341="","",0.409*SIN(2*PI()*B341/365-1.39))</f>
        <v/>
      </c>
      <c r="D341" s="1" t="str">
        <f aca="false">IF(A341="","",ACOS(-TAN(RADIANS(Dashboard!$B$53))*TAN(C341)))</f>
        <v/>
      </c>
      <c r="E341" s="1" t="str">
        <f aca="false">IF(A341="","",(24*60/PI())*0.082*(1+0.033*COS(2*PI()*B341/365))*(D341*SIN(RADIANS(Dashboard!$B$53))*SIN(C341)+COS(RADIANS(Dashboard!$B$53))*COS(C341)*SIN(D341)))</f>
        <v/>
      </c>
      <c r="F341" s="1" t="str">
        <f aca="false">IF(A341="","",24/PI()*D341)</f>
        <v/>
      </c>
      <c r="H341" s="1" t="n">
        <v>337</v>
      </c>
      <c r="I341" s="1" t="n">
        <f aca="false">0.409*SIN(2*PI()*H341/365-1.39)</f>
        <v>-0.390587125480314</v>
      </c>
      <c r="J341" s="1" t="n">
        <f aca="false">ACOS(-TAN(RADIANS(Dashboard!$B$53))*TAN(I341))</f>
        <v>1.44852855365438</v>
      </c>
      <c r="K341" s="1" t="n">
        <f aca="false">(24*60/PI())*0.082*(1+0.033*COS(2*PI()*H341/365))*(J341*SIN(RADIANS(Dashboard!$B$53))*SIN(I341)+COS(RADIANS(Dashboard!$B$53))*COS(I341)*SIN(J341))</f>
        <v>27.9829717000601</v>
      </c>
      <c r="L341" s="1" t="n">
        <f aca="false">24/PI()*J341</f>
        <v>11.0659430171447</v>
      </c>
    </row>
    <row r="342" customFormat="false" ht="15" hidden="false" customHeight="true" outlineLevel="0" collapsed="false">
      <c r="A342" s="1" t="str">
        <f aca="false">IF(OR(A341="",A341&gt;=Dashboard!$B$55),"",A341+1)</f>
        <v/>
      </c>
      <c r="B342" s="1" t="str">
        <f aca="false">IF(A342="","",A342-DATE(YEAR(A342),1,0))</f>
        <v/>
      </c>
      <c r="C342" s="1" t="str">
        <f aca="false">IF(A342="","",0.409*SIN(2*PI()*B342/365-1.39))</f>
        <v/>
      </c>
      <c r="D342" s="1" t="str">
        <f aca="false">IF(A342="","",ACOS(-TAN(RADIANS(Dashboard!$B$53))*TAN(C342)))</f>
        <v/>
      </c>
      <c r="E342" s="1" t="str">
        <f aca="false">IF(A342="","",(24*60/PI())*0.082*(1+0.033*COS(2*PI()*B342/365))*(D342*SIN(RADIANS(Dashboard!$B$53))*SIN(C342)+COS(RADIANS(Dashboard!$B$53))*COS(C342)*SIN(D342)))</f>
        <v/>
      </c>
      <c r="F342" s="1" t="str">
        <f aca="false">IF(A342="","",24/PI()*D342)</f>
        <v/>
      </c>
      <c r="H342" s="1" t="n">
        <v>338</v>
      </c>
      <c r="I342" s="1" t="n">
        <f aca="false">0.409*SIN(2*PI()*H342/365-1.39)</f>
        <v>-0.392617874895386</v>
      </c>
      <c r="J342" s="1" t="n">
        <f aca="false">ACOS(-TAN(RADIANS(Dashboard!$B$53))*TAN(I342))</f>
        <v>1.44781912275048</v>
      </c>
      <c r="K342" s="1" t="n">
        <f aca="false">(24*60/PI())*0.082*(1+0.033*COS(2*PI()*H342/365))*(J342*SIN(RADIANS(Dashboard!$B$53))*SIN(I342)+COS(RADIANS(Dashboard!$B$53))*COS(I342)*SIN(J342))</f>
        <v>27.9315991662939</v>
      </c>
      <c r="L342" s="1" t="n">
        <f aca="false">24/PI()*J342</f>
        <v>11.0605233642581</v>
      </c>
    </row>
    <row r="343" customFormat="false" ht="15" hidden="false" customHeight="true" outlineLevel="0" collapsed="false">
      <c r="A343" s="1" t="str">
        <f aca="false">IF(OR(A342="",A342&gt;=Dashboard!$B$55),"",A342+1)</f>
        <v/>
      </c>
      <c r="B343" s="1" t="str">
        <f aca="false">IF(A343="","",A343-DATE(YEAR(A343),1,0))</f>
        <v/>
      </c>
      <c r="C343" s="1" t="str">
        <f aca="false">IF(A343="","",0.409*SIN(2*PI()*B343/365-1.39))</f>
        <v/>
      </c>
      <c r="D343" s="1" t="str">
        <f aca="false">IF(A343="","",ACOS(-TAN(RADIANS(Dashboard!$B$53))*TAN(C343)))</f>
        <v/>
      </c>
      <c r="E343" s="1" t="str">
        <f aca="false">IF(A343="","",(24*60/PI())*0.082*(1+0.033*COS(2*PI()*B343/365))*(D343*SIN(RADIANS(Dashboard!$B$53))*SIN(C343)+COS(RADIANS(Dashboard!$B$53))*COS(C343)*SIN(D343)))</f>
        <v/>
      </c>
      <c r="F343" s="1" t="str">
        <f aca="false">IF(A343="","",24/PI()*D343)</f>
        <v/>
      </c>
      <c r="H343" s="1" t="n">
        <v>339</v>
      </c>
      <c r="I343" s="1" t="n">
        <f aca="false">0.409*SIN(2*PI()*H343/365-1.39)</f>
        <v>-0.394532283160739</v>
      </c>
      <c r="J343" s="1" t="n">
        <f aca="false">ACOS(-TAN(RADIANS(Dashboard!$B$53))*TAN(I343))</f>
        <v>1.44714918446691</v>
      </c>
      <c r="K343" s="1" t="n">
        <f aca="false">(24*60/PI())*0.082*(1+0.033*COS(2*PI()*H343/365))*(J343*SIN(RADIANS(Dashboard!$B$53))*SIN(I343)+COS(RADIANS(Dashboard!$B$53))*COS(I343)*SIN(J343))</f>
        <v>27.883218102017</v>
      </c>
      <c r="L343" s="1" t="n">
        <f aca="false">24/PI()*J343</f>
        <v>11.0554054127671</v>
      </c>
    </row>
    <row r="344" customFormat="false" ht="15" hidden="false" customHeight="true" outlineLevel="0" collapsed="false">
      <c r="A344" s="1" t="str">
        <f aca="false">IF(OR(A343="",A343&gt;=Dashboard!$B$55),"",A343+1)</f>
        <v/>
      </c>
      <c r="B344" s="1" t="str">
        <f aca="false">IF(A344="","",A344-DATE(YEAR(A344),1,0))</f>
        <v/>
      </c>
      <c r="C344" s="1" t="str">
        <f aca="false">IF(A344="","",0.409*SIN(2*PI()*B344/365-1.39))</f>
        <v/>
      </c>
      <c r="D344" s="1" t="str">
        <f aca="false">IF(A344="","",ACOS(-TAN(RADIANS(Dashboard!$B$53))*TAN(C344)))</f>
        <v/>
      </c>
      <c r="E344" s="1" t="str">
        <f aca="false">IF(A344="","",(24*60/PI())*0.082*(1+0.033*COS(2*PI()*B344/365))*(D344*SIN(RADIANS(Dashboard!$B$53))*SIN(C344)+COS(RADIANS(Dashboard!$B$53))*COS(C344)*SIN(D344)))</f>
        <v/>
      </c>
      <c r="F344" s="1" t="str">
        <f aca="false">IF(A344="","",24/PI()*D344)</f>
        <v/>
      </c>
      <c r="H344" s="1" t="n">
        <v>340</v>
      </c>
      <c r="I344" s="1" t="n">
        <f aca="false">0.409*SIN(2*PI()*H344/365-1.39)</f>
        <v>-0.396329782995888</v>
      </c>
      <c r="J344" s="1" t="n">
        <f aca="false">ACOS(-TAN(RADIANS(Dashboard!$B$53))*TAN(I344))</f>
        <v>1.44651913405698</v>
      </c>
      <c r="K344" s="1" t="n">
        <f aca="false">(24*60/PI())*0.082*(1+0.033*COS(2*PI()*H344/365))*(J344*SIN(RADIANS(Dashboard!$B$53))*SIN(I344)+COS(RADIANS(Dashboard!$B$53))*COS(I344)*SIN(J344))</f>
        <v>27.837862783095</v>
      </c>
      <c r="L344" s="1" t="n">
        <f aca="false">24/PI()*J344</f>
        <v>11.0505921821845</v>
      </c>
    </row>
    <row r="345" customFormat="false" ht="15" hidden="false" customHeight="true" outlineLevel="0" collapsed="false">
      <c r="A345" s="1" t="str">
        <f aca="false">IF(OR(A344="",A344&gt;=Dashboard!$B$55),"",A344+1)</f>
        <v/>
      </c>
      <c r="B345" s="1" t="str">
        <f aca="false">IF(A345="","",A345-DATE(YEAR(A345),1,0))</f>
        <v/>
      </c>
      <c r="C345" s="1" t="str">
        <f aca="false">IF(A345="","",0.409*SIN(2*PI()*B345/365-1.39))</f>
        <v/>
      </c>
      <c r="D345" s="1" t="str">
        <f aca="false">IF(A345="","",ACOS(-TAN(RADIANS(Dashboard!$B$53))*TAN(C345)))</f>
        <v/>
      </c>
      <c r="E345" s="1" t="str">
        <f aca="false">IF(A345="","",(24*60/PI())*0.082*(1+0.033*COS(2*PI()*B345/365))*(D345*SIN(RADIANS(Dashboard!$B$53))*SIN(C345)+COS(RADIANS(Dashboard!$B$53))*COS(C345)*SIN(D345)))</f>
        <v/>
      </c>
      <c r="F345" s="1" t="str">
        <f aca="false">IF(A345="","",24/PI()*D345)</f>
        <v/>
      </c>
      <c r="H345" s="1" t="n">
        <v>341</v>
      </c>
      <c r="I345" s="1" t="n">
        <f aca="false">0.409*SIN(2*PI()*H345/365-1.39)</f>
        <v>-0.398009841762838</v>
      </c>
      <c r="J345" s="1" t="n">
        <f aca="false">ACOS(-TAN(RADIANS(Dashboard!$B$53))*TAN(I345))</f>
        <v>1.44592934604774</v>
      </c>
      <c r="K345" s="1" t="n">
        <f aca="false">(24*60/PI())*0.082*(1+0.033*COS(2*PI()*H345/365))*(J345*SIN(RADIANS(Dashboard!$B$53))*SIN(I345)+COS(RADIANS(Dashboard!$B$53))*COS(I345)*SIN(J345))</f>
        <v>27.7955654757525</v>
      </c>
      <c r="L345" s="1" t="n">
        <f aca="false">24/PI()*J345</f>
        <v>11.0460865336862</v>
      </c>
    </row>
    <row r="346" customFormat="false" ht="15" hidden="false" customHeight="true" outlineLevel="0" collapsed="false">
      <c r="A346" s="1" t="str">
        <f aca="false">IF(OR(A345="",A345&gt;=Dashboard!$B$55),"",A345+1)</f>
        <v/>
      </c>
      <c r="B346" s="1" t="str">
        <f aca="false">IF(A346="","",A346-DATE(YEAR(A346),1,0))</f>
        <v/>
      </c>
      <c r="C346" s="1" t="str">
        <f aca="false">IF(A346="","",0.409*SIN(2*PI()*B346/365-1.39))</f>
        <v/>
      </c>
      <c r="D346" s="1" t="str">
        <f aca="false">IF(A346="","",ACOS(-TAN(RADIANS(Dashboard!$B$53))*TAN(C346)))</f>
        <v/>
      </c>
      <c r="E346" s="1" t="str">
        <f aca="false">IF(A346="","",(24*60/PI())*0.082*(1+0.033*COS(2*PI()*B346/365))*(D346*SIN(RADIANS(Dashboard!$B$53))*SIN(C346)+COS(RADIANS(Dashboard!$B$53))*COS(C346)*SIN(D346)))</f>
        <v/>
      </c>
      <c r="F346" s="1" t="str">
        <f aca="false">IF(A346="","",24/PI()*D346)</f>
        <v/>
      </c>
      <c r="H346" s="1" t="n">
        <v>342</v>
      </c>
      <c r="I346" s="1" t="n">
        <f aca="false">0.409*SIN(2*PI()*H346/365-1.39)</f>
        <v>-0.399571961623917</v>
      </c>
      <c r="J346" s="1" t="n">
        <f aca="false">ACOS(-TAN(RADIANS(Dashboard!$B$53))*TAN(I346))</f>
        <v>1.4453801735135</v>
      </c>
      <c r="K346" s="1" t="n">
        <f aca="false">(24*60/PI())*0.082*(1+0.033*COS(2*PI()*H346/365))*(J346*SIN(RADIANS(Dashboard!$B$53))*SIN(I346)+COS(RADIANS(Dashboard!$B$53))*COS(I346)*SIN(J346))</f>
        <v>27.7563564143143</v>
      </c>
      <c r="L346" s="1" t="n">
        <f aca="false">24/PI()*J346</f>
        <v>11.0418911645613</v>
      </c>
    </row>
    <row r="347" customFormat="false" ht="15" hidden="false" customHeight="true" outlineLevel="0" collapsed="false">
      <c r="A347" s="1" t="str">
        <f aca="false">IF(OR(A346="",A346&gt;=Dashboard!$B$55),"",A346+1)</f>
        <v/>
      </c>
      <c r="B347" s="1" t="str">
        <f aca="false">IF(A347="","",A347-DATE(YEAR(A347),1,0))</f>
        <v/>
      </c>
      <c r="C347" s="1" t="str">
        <f aca="false">IF(A347="","",0.409*SIN(2*PI()*B347/365-1.39))</f>
        <v/>
      </c>
      <c r="D347" s="1" t="str">
        <f aca="false">IF(A347="","",ACOS(-TAN(RADIANS(Dashboard!$B$53))*TAN(C347)))</f>
        <v/>
      </c>
      <c r="E347" s="1" t="str">
        <f aca="false">IF(A347="","",(24*60/PI())*0.082*(1+0.033*COS(2*PI()*B347/365))*(D347*SIN(RADIANS(Dashboard!$B$53))*SIN(C347)+COS(RADIANS(Dashboard!$B$53))*COS(C347)*SIN(D347)))</f>
        <v/>
      </c>
      <c r="F347" s="1" t="str">
        <f aca="false">IF(A347="","",24/PI()*D347)</f>
        <v/>
      </c>
      <c r="H347" s="1" t="n">
        <v>343</v>
      </c>
      <c r="I347" s="1" t="n">
        <f aca="false">0.409*SIN(2*PI()*H347/365-1.39)</f>
        <v>-0.401015679689298</v>
      </c>
      <c r="J347" s="1" t="n">
        <f aca="false">ACOS(-TAN(RADIANS(Dashboard!$B$53))*TAN(I347))</f>
        <v>1.44487194738357</v>
      </c>
      <c r="K347" s="1" t="n">
        <f aca="false">(24*60/PI())*0.082*(1+0.033*COS(2*PI()*H347/365))*(J347*SIN(RADIANS(Dashboard!$B$53))*SIN(I347)+COS(RADIANS(Dashboard!$B$53))*COS(I347)*SIN(J347))</f>
        <v>27.7202637804107</v>
      </c>
      <c r="L347" s="1" t="n">
        <f aca="false">24/PI()*J347</f>
        <v>11.0380086029236</v>
      </c>
    </row>
    <row r="348" customFormat="false" ht="15" hidden="false" customHeight="true" outlineLevel="0" collapsed="false">
      <c r="A348" s="1" t="str">
        <f aca="false">IF(OR(A347="",A347&gt;=Dashboard!$B$55),"",A347+1)</f>
        <v/>
      </c>
      <c r="B348" s="1" t="str">
        <f aca="false">IF(A348="","",A348-DATE(YEAR(A348),1,0))</f>
        <v/>
      </c>
      <c r="C348" s="1" t="str">
        <f aca="false">IF(A348="","",0.409*SIN(2*PI()*B348/365-1.39))</f>
        <v/>
      </c>
      <c r="D348" s="1" t="str">
        <f aca="false">IF(A348="","",ACOS(-TAN(RADIANS(Dashboard!$B$53))*TAN(C348)))</f>
        <v/>
      </c>
      <c r="E348" s="1" t="str">
        <f aca="false">IF(A348="","",(24*60/PI())*0.082*(1+0.033*COS(2*PI()*B348/365))*(D348*SIN(RADIANS(Dashboard!$B$53))*SIN(C348)+COS(RADIANS(Dashboard!$B$53))*COS(C348)*SIN(D348)))</f>
        <v/>
      </c>
      <c r="F348" s="1" t="str">
        <f aca="false">IF(A348="","",24/PI()*D348)</f>
        <v/>
      </c>
      <c r="H348" s="1" t="n">
        <v>344</v>
      </c>
      <c r="I348" s="1" t="n">
        <f aca="false">0.409*SIN(2*PI()*H348/365-1.39)</f>
        <v>-0.40234056815416</v>
      </c>
      <c r="J348" s="1" t="n">
        <f aca="false">ACOS(-TAN(RADIANS(Dashboard!$B$53))*TAN(I348))</f>
        <v>1.44440497578688</v>
      </c>
      <c r="K348" s="1" t="n">
        <f aca="false">(24*60/PI())*0.082*(1+0.033*COS(2*PI()*H348/365))*(J348*SIN(RADIANS(Dashboard!$B$53))*SIN(I348)+COS(RADIANS(Dashboard!$B$53))*COS(I348)*SIN(J348))</f>
        <v>27.6873136836259</v>
      </c>
      <c r="L348" s="1" t="n">
        <f aca="false">24/PI()*J348</f>
        <v>11.0344412027045</v>
      </c>
    </row>
    <row r="349" customFormat="false" ht="15" hidden="false" customHeight="true" outlineLevel="0" collapsed="false">
      <c r="A349" s="1" t="str">
        <f aca="false">IF(OR(A348="",A348&gt;=Dashboard!$B$55),"",A348+1)</f>
        <v/>
      </c>
      <c r="B349" s="1" t="str">
        <f aca="false">IF(A349="","",A349-DATE(YEAR(A349),1,0))</f>
        <v/>
      </c>
      <c r="C349" s="1" t="str">
        <f aca="false">IF(A349="","",0.409*SIN(2*PI()*B349/365-1.39))</f>
        <v/>
      </c>
      <c r="D349" s="1" t="str">
        <f aca="false">IF(A349="","",ACOS(-TAN(RADIANS(Dashboard!$B$53))*TAN(C349)))</f>
        <v/>
      </c>
      <c r="E349" s="1" t="str">
        <f aca="false">IF(A349="","",(24*60/PI())*0.082*(1+0.033*COS(2*PI()*B349/365))*(D349*SIN(RADIANS(Dashboard!$B$53))*SIN(C349)+COS(RADIANS(Dashboard!$B$53))*COS(C349)*SIN(D349)))</f>
        <v/>
      </c>
      <c r="F349" s="1" t="str">
        <f aca="false">IF(A349="","",24/PI()*D349)</f>
        <v/>
      </c>
      <c r="H349" s="1" t="n">
        <v>345</v>
      </c>
      <c r="I349" s="1" t="n">
        <f aca="false">0.409*SIN(2*PI()*H349/365-1.39)</f>
        <v>-0.403546234425458</v>
      </c>
      <c r="J349" s="1" t="n">
        <f aca="false">ACOS(-TAN(RADIANS(Dashboard!$B$53))*TAN(I349))</f>
        <v>1.44397954343608</v>
      </c>
      <c r="K349" s="1" t="n">
        <f aca="false">(24*60/PI())*0.082*(1+0.033*COS(2*PI()*H349/365))*(J349*SIN(RADIANS(Dashboard!$B$53))*SIN(I349)+COS(RADIANS(Dashboard!$B$53))*COS(I349)*SIN(J349))</f>
        <v>27.6575301435723</v>
      </c>
      <c r="L349" s="1" t="n">
        <f aca="false">24/PI()*J349</f>
        <v>11.0311911389487</v>
      </c>
    </row>
    <row r="350" customFormat="false" ht="15" hidden="false" customHeight="true" outlineLevel="0" collapsed="false">
      <c r="A350" s="1" t="str">
        <f aca="false">IF(OR(A349="",A349&gt;=Dashboard!$B$55),"",A349+1)</f>
        <v/>
      </c>
      <c r="B350" s="1" t="str">
        <f aca="false">IF(A350="","",A350-DATE(YEAR(A350),1,0))</f>
        <v/>
      </c>
      <c r="C350" s="1" t="str">
        <f aca="false">IF(A350="","",0.409*SIN(2*PI()*B350/365-1.39))</f>
        <v/>
      </c>
      <c r="D350" s="1" t="str">
        <f aca="false">IF(A350="","",ACOS(-TAN(RADIANS(Dashboard!$B$53))*TAN(C350)))</f>
        <v/>
      </c>
      <c r="E350" s="1" t="str">
        <f aca="false">IF(A350="","",(24*60/PI())*0.082*(1+0.033*COS(2*PI()*B350/365))*(D350*SIN(RADIANS(Dashboard!$B$53))*SIN(C350)+COS(RADIANS(Dashboard!$B$53))*COS(C350)*SIN(D350)))</f>
        <v/>
      </c>
      <c r="F350" s="1" t="str">
        <f aca="false">IF(A350="","",24/PI()*D350)</f>
        <v/>
      </c>
      <c r="H350" s="1" t="n">
        <v>346</v>
      </c>
      <c r="I350" s="1" t="n">
        <f aca="false">0.409*SIN(2*PI()*H350/365-1.39)</f>
        <v>-0.404632321238254</v>
      </c>
      <c r="J350" s="1" t="n">
        <f aca="false">ACOS(-TAN(RADIANS(Dashboard!$B$53))*TAN(I350))</f>
        <v>1.44359591105367</v>
      </c>
      <c r="K350" s="1" t="n">
        <f aca="false">(24*60/PI())*0.082*(1+0.033*COS(2*PI()*H350/365))*(J350*SIN(RADIANS(Dashboard!$B$53))*SIN(I350)+COS(RADIANS(Dashboard!$B$53))*COS(I350)*SIN(J350))</f>
        <v>27.630935073372</v>
      </c>
      <c r="L350" s="1" t="n">
        <f aca="false">24/PI()*J350</f>
        <v>11.0282604034291</v>
      </c>
    </row>
    <row r="351" customFormat="false" ht="15" hidden="false" customHeight="true" outlineLevel="0" collapsed="false">
      <c r="A351" s="1" t="str">
        <f aca="false">IF(OR(A350="",A350&gt;=Dashboard!$B$55),"",A350+1)</f>
        <v/>
      </c>
      <c r="B351" s="1" t="str">
        <f aca="false">IF(A351="","",A351-DATE(YEAR(A351),1,0))</f>
        <v/>
      </c>
      <c r="C351" s="1" t="str">
        <f aca="false">IF(A351="","",0.409*SIN(2*PI()*B351/365-1.39))</f>
        <v/>
      </c>
      <c r="D351" s="1" t="str">
        <f aca="false">IF(A351="","",ACOS(-TAN(RADIANS(Dashboard!$B$53))*TAN(C351)))</f>
        <v/>
      </c>
      <c r="E351" s="1" t="str">
        <f aca="false">IF(A351="","",(24*60/PI())*0.082*(1+0.033*COS(2*PI()*B351/365))*(D351*SIN(RADIANS(Dashboard!$B$53))*SIN(C351)+COS(RADIANS(Dashboard!$B$53))*COS(C351)*SIN(D351)))</f>
        <v/>
      </c>
      <c r="F351" s="1" t="str">
        <f aca="false">IF(A351="","",24/PI()*D351)</f>
        <v/>
      </c>
      <c r="H351" s="1" t="n">
        <v>347</v>
      </c>
      <c r="I351" s="1" t="n">
        <f aca="false">0.409*SIN(2*PI()*H351/365-1.39)</f>
        <v>-0.405598506761586</v>
      </c>
      <c r="J351" s="1" t="n">
        <f aca="false">ACOS(-TAN(RADIANS(Dashboard!$B$53))*TAN(I351))</f>
        <v>1.44325431484235</v>
      </c>
      <c r="K351" s="1" t="n">
        <f aca="false">(24*60/PI())*0.082*(1+0.033*COS(2*PI()*H351/365))*(J351*SIN(RADIANS(Dashboard!$B$53))*SIN(I351)+COS(RADIANS(Dashboard!$B$53))*COS(I351)*SIN(J351))</f>
        <v>27.6075482645283</v>
      </c>
      <c r="L351" s="1" t="n">
        <f aca="false">24/PI()*J351</f>
        <v>11.0256508006016</v>
      </c>
    </row>
    <row r="352" customFormat="false" ht="15" hidden="false" customHeight="true" outlineLevel="0" collapsed="false">
      <c r="A352" s="1" t="str">
        <f aca="false">IF(OR(A351="",A351&gt;=Dashboard!$B$55),"",A351+1)</f>
        <v/>
      </c>
      <c r="B352" s="1" t="str">
        <f aca="false">IF(A352="","",A352-DATE(YEAR(A352),1,0))</f>
        <v/>
      </c>
      <c r="C352" s="1" t="str">
        <f aca="false">IF(A352="","",0.409*SIN(2*PI()*B352/365-1.39))</f>
        <v/>
      </c>
      <c r="D352" s="1" t="str">
        <f aca="false">IF(A352="","",ACOS(-TAN(RADIANS(Dashboard!$B$53))*TAN(C352)))</f>
        <v/>
      </c>
      <c r="E352" s="1" t="str">
        <f aca="false">IF(A352="","",(24*60/PI())*0.082*(1+0.033*COS(2*PI()*B352/365))*(D352*SIN(RADIANS(Dashboard!$B$53))*SIN(C352)+COS(RADIANS(Dashboard!$B$53))*COS(C352)*SIN(D352)))</f>
        <v/>
      </c>
      <c r="F352" s="1" t="str">
        <f aca="false">IF(A352="","",24/PI()*D352)</f>
        <v/>
      </c>
      <c r="H352" s="1" t="n">
        <v>348</v>
      </c>
      <c r="I352" s="1" t="n">
        <f aca="false">0.409*SIN(2*PI()*H352/365-1.39)</f>
        <v>-0.406444504693832</v>
      </c>
      <c r="J352" s="1" t="n">
        <f aca="false">ACOS(-TAN(RADIANS(Dashboard!$B$53))*TAN(I352))</f>
        <v>1.44295496600195</v>
      </c>
      <c r="K352" s="1" t="n">
        <f aca="false">(24*60/PI())*0.082*(1+0.033*COS(2*PI()*H352/365))*(J352*SIN(RADIANS(Dashboard!$B$53))*SIN(I352)+COS(RADIANS(Dashboard!$B$53))*COS(I352)*SIN(J352))</f>
        <v>27.5873873731716</v>
      </c>
      <c r="L352" s="1" t="n">
        <f aca="false">24/PI()*J352</f>
        <v>11.023363943914</v>
      </c>
    </row>
    <row r="353" customFormat="false" ht="15" hidden="false" customHeight="true" outlineLevel="0" collapsed="false">
      <c r="A353" s="1" t="str">
        <f aca="false">IF(OR(A352="",A352&gt;=Dashboard!$B$55),"",A352+1)</f>
        <v/>
      </c>
      <c r="B353" s="1" t="str">
        <f aca="false">IF(A353="","",A353-DATE(YEAR(A353),1,0))</f>
        <v/>
      </c>
      <c r="C353" s="1" t="str">
        <f aca="false">IF(A353="","",0.409*SIN(2*PI()*B353/365-1.39))</f>
        <v/>
      </c>
      <c r="D353" s="1" t="str">
        <f aca="false">IF(A353="","",ACOS(-TAN(RADIANS(Dashboard!$B$53))*TAN(C353)))</f>
        <v/>
      </c>
      <c r="E353" s="1" t="str">
        <f aca="false">IF(A353="","",(24*60/PI())*0.082*(1+0.033*COS(2*PI()*B353/365))*(D353*SIN(RADIANS(Dashboard!$B$53))*SIN(C353)+COS(RADIANS(Dashboard!$B$53))*COS(C353)*SIN(D353)))</f>
        <v/>
      </c>
      <c r="F353" s="1" t="str">
        <f aca="false">IF(A353="","",24/PI()*D353)</f>
        <v/>
      </c>
      <c r="H353" s="1" t="n">
        <v>349</v>
      </c>
      <c r="I353" s="1" t="n">
        <f aca="false">0.409*SIN(2*PI()*H353/365-1.39)</f>
        <v>-0.407170064347547</v>
      </c>
      <c r="J353" s="1" t="n">
        <f aca="false">ACOS(-TAN(RADIANS(Dashboard!$B$53))*TAN(I353))</f>
        <v>1.4426980502947</v>
      </c>
      <c r="K353" s="1" t="n">
        <f aca="false">(24*60/PI())*0.082*(1+0.033*COS(2*PI()*H353/365))*(J353*SIN(RADIANS(Dashboard!$B$53))*SIN(I353)+COS(RADIANS(Dashboard!$B$53))*COS(I353)*SIN(J353))</f>
        <v>27.5704679076657</v>
      </c>
      <c r="L353" s="1" t="n">
        <f aca="false">24/PI()*J353</f>
        <v>11.0214012524852</v>
      </c>
    </row>
    <row r="354" customFormat="false" ht="15" hidden="false" customHeight="true" outlineLevel="0" collapsed="false">
      <c r="A354" s="1" t="str">
        <f aca="false">IF(OR(A353="",A353&gt;=Dashboard!$B$55),"",A353+1)</f>
        <v/>
      </c>
      <c r="B354" s="1" t="str">
        <f aca="false">IF(A354="","",A354-DATE(YEAR(A354),1,0))</f>
        <v/>
      </c>
      <c r="C354" s="1" t="str">
        <f aca="false">IF(A354="","",0.409*SIN(2*PI()*B354/365-1.39))</f>
        <v/>
      </c>
      <c r="D354" s="1" t="str">
        <f aca="false">IF(A354="","",ACOS(-TAN(RADIANS(Dashboard!$B$53))*TAN(C354)))</f>
        <v/>
      </c>
      <c r="E354" s="1" t="str">
        <f aca="false">IF(A354="","",(24*60/PI())*0.082*(1+0.033*COS(2*PI()*B354/365))*(D354*SIN(RADIANS(Dashboard!$B$53))*SIN(C354)+COS(RADIANS(Dashboard!$B$53))*COS(C354)*SIN(D354)))</f>
        <v/>
      </c>
      <c r="F354" s="1" t="str">
        <f aca="false">IF(A354="","",24/PI()*D354)</f>
        <v/>
      </c>
      <c r="H354" s="1" t="n">
        <v>350</v>
      </c>
      <c r="I354" s="1" t="n">
        <f aca="false">0.409*SIN(2*PI()*H354/365-1.39)</f>
        <v>-0.407774970723746</v>
      </c>
      <c r="J354" s="1" t="n">
        <f aca="false">ACOS(-TAN(RADIANS(Dashboard!$B$53))*TAN(I354))</f>
        <v>1.44248372766084</v>
      </c>
      <c r="K354" s="1" t="n">
        <f aca="false">(24*60/PI())*0.082*(1+0.033*COS(2*PI()*H354/365))*(J354*SIN(RADIANS(Dashboard!$B$53))*SIN(I354)+COS(RADIANS(Dashboard!$B$53))*COS(I354)*SIN(J354))</f>
        <v>27.5568032175603</v>
      </c>
      <c r="L354" s="1" t="n">
        <f aca="false">24/PI()*J354</f>
        <v>11.0197639481686</v>
      </c>
    </row>
    <row r="355" customFormat="false" ht="15" hidden="false" customHeight="true" outlineLevel="0" collapsed="false">
      <c r="A355" s="1" t="str">
        <f aca="false">IF(OR(A354="",A354&gt;=Dashboard!$B$55),"",A354+1)</f>
        <v/>
      </c>
      <c r="B355" s="1" t="str">
        <f aca="false">IF(A355="","",A355-DATE(YEAR(A355),1,0))</f>
        <v/>
      </c>
      <c r="C355" s="1" t="str">
        <f aca="false">IF(A355="","",0.409*SIN(2*PI()*B355/365-1.39))</f>
        <v/>
      </c>
      <c r="D355" s="1" t="str">
        <f aca="false">IF(A355="","",ACOS(-TAN(RADIANS(Dashboard!$B$53))*TAN(C355)))</f>
        <v/>
      </c>
      <c r="E355" s="1" t="str">
        <f aca="false">IF(A355="","",(24*60/PI())*0.082*(1+0.033*COS(2*PI()*B355/365))*(D355*SIN(RADIANS(Dashboard!$B$53))*SIN(C355)+COS(RADIANS(Dashboard!$B$53))*COS(C355)*SIN(D355)))</f>
        <v/>
      </c>
      <c r="F355" s="1" t="str">
        <f aca="false">IF(A355="","",24/PI()*D355)</f>
        <v/>
      </c>
      <c r="H355" s="1" t="n">
        <v>351</v>
      </c>
      <c r="I355" s="1" t="n">
        <f aca="false">0.409*SIN(2*PI()*H355/365-1.39)</f>
        <v>-0.408259044575614</v>
      </c>
      <c r="J355" s="1" t="n">
        <f aca="false">ACOS(-TAN(RADIANS(Dashboard!$B$53))*TAN(I355))</f>
        <v>1.44231213188611</v>
      </c>
      <c r="K355" s="1" t="n">
        <f aca="false">(24*60/PI())*0.082*(1+0.033*COS(2*PI()*H355/365))*(J355*SIN(RADIANS(Dashboard!$B$53))*SIN(I355)+COS(RADIANS(Dashboard!$B$53))*COS(I355)*SIN(J355))</f>
        <v>27.5464044838802</v>
      </c>
      <c r="L355" s="1" t="n">
        <f aca="false">24/PI()*J355</f>
        <v>11.018453053012</v>
      </c>
    </row>
    <row r="356" customFormat="false" ht="15" hidden="false" customHeight="true" outlineLevel="0" collapsed="false">
      <c r="A356" s="1" t="str">
        <f aca="false">IF(OR(A355="",A355&gt;=Dashboard!$B$55),"",A355+1)</f>
        <v/>
      </c>
      <c r="B356" s="1" t="str">
        <f aca="false">IF(A356="","",A356-DATE(YEAR(A356),1,0))</f>
        <v/>
      </c>
      <c r="C356" s="1" t="str">
        <f aca="false">IF(A356="","",0.409*SIN(2*PI()*B356/365-1.39))</f>
        <v/>
      </c>
      <c r="D356" s="1" t="str">
        <f aca="false">IF(A356="","",ACOS(-TAN(RADIANS(Dashboard!$B$53))*TAN(C356)))</f>
        <v/>
      </c>
      <c r="E356" s="1" t="str">
        <f aca="false">IF(A356="","",(24*60/PI())*0.082*(1+0.033*COS(2*PI()*B356/365))*(D356*SIN(RADIANS(Dashboard!$B$53))*SIN(C356)+COS(RADIANS(Dashboard!$B$53))*COS(C356)*SIN(D356)))</f>
        <v/>
      </c>
      <c r="F356" s="1" t="str">
        <f aca="false">IF(A356="","",24/PI()*D356)</f>
        <v/>
      </c>
      <c r="H356" s="1" t="n">
        <v>352</v>
      </c>
      <c r="I356" s="1" t="n">
        <f aca="false">0.409*SIN(2*PI()*H356/365-1.39)</f>
        <v>-0.408622142461624</v>
      </c>
      <c r="J356" s="1" t="n">
        <f aca="false">ACOS(-TAN(RADIANS(Dashboard!$B$53))*TAN(I356))</f>
        <v>1.44218337032244</v>
      </c>
      <c r="K356" s="1" t="n">
        <f aca="false">(24*60/PI())*0.082*(1+0.033*COS(2*PI()*H356/365))*(J356*SIN(RADIANS(Dashboard!$B$53))*SIN(I356)+COS(RADIANS(Dashboard!$B$53))*COS(I356)*SIN(J356))</f>
        <v>27.5392807107401</v>
      </c>
      <c r="L356" s="1" t="n">
        <f aca="false">24/PI()*J356</f>
        <v>11.0174693871238</v>
      </c>
    </row>
    <row r="357" customFormat="false" ht="15" hidden="false" customHeight="true" outlineLevel="0" collapsed="false">
      <c r="A357" s="1" t="str">
        <f aca="false">IF(OR(A356="",A356&gt;=Dashboard!$B$55),"",A356+1)</f>
        <v/>
      </c>
      <c r="B357" s="1" t="str">
        <f aca="false">IF(A357="","",A357-DATE(YEAR(A357),1,0))</f>
        <v/>
      </c>
      <c r="C357" s="1" t="str">
        <f aca="false">IF(A357="","",0.409*SIN(2*PI()*B357/365-1.39))</f>
        <v/>
      </c>
      <c r="D357" s="1" t="str">
        <f aca="false">IF(A357="","",ACOS(-TAN(RADIANS(Dashboard!$B$53))*TAN(C357)))</f>
        <v/>
      </c>
      <c r="E357" s="1" t="str">
        <f aca="false">IF(A357="","",(24*60/PI())*0.082*(1+0.033*COS(2*PI()*B357/365))*(D357*SIN(RADIANS(Dashboard!$B$53))*SIN(C357)+COS(RADIANS(Dashboard!$B$53))*COS(C357)*SIN(D357)))</f>
        <v/>
      </c>
      <c r="F357" s="1" t="str">
        <f aca="false">IF(A357="","",24/PI()*D357)</f>
        <v/>
      </c>
      <c r="H357" s="1" t="n">
        <v>353</v>
      </c>
      <c r="I357" s="1" t="n">
        <f aca="false">0.409*SIN(2*PI()*H357/365-1.39)</f>
        <v>-0.408864156788033</v>
      </c>
      <c r="J357" s="1" t="n">
        <f aca="false">ACOS(-TAN(RADIANS(Dashboard!$B$53))*TAN(I357))</f>
        <v>1.44209752366318</v>
      </c>
      <c r="K357" s="1" t="n">
        <f aca="false">(24*60/PI())*0.082*(1+0.033*COS(2*PI()*H357/365))*(J357*SIN(RADIANS(Dashboard!$B$53))*SIN(I357)+COS(RADIANS(Dashboard!$B$53))*COS(I357)*SIN(J357))</f>
        <v>27.5354387182785</v>
      </c>
      <c r="L357" s="1" t="n">
        <f aca="false">24/PI()*J357</f>
        <v>11.0168135669557</v>
      </c>
    </row>
    <row r="358" customFormat="false" ht="15" hidden="false" customHeight="true" outlineLevel="0" collapsed="false">
      <c r="A358" s="1" t="str">
        <f aca="false">IF(OR(A357="",A357&gt;=Dashboard!$B$55),"",A357+1)</f>
        <v/>
      </c>
      <c r="B358" s="1" t="str">
        <f aca="false">IF(A358="","",A358-DATE(YEAR(A358),1,0))</f>
        <v/>
      </c>
      <c r="C358" s="1" t="str">
        <f aca="false">IF(A358="","",0.409*SIN(2*PI()*B358/365-1.39))</f>
        <v/>
      </c>
      <c r="D358" s="1" t="str">
        <f aca="false">IF(A358="","",ACOS(-TAN(RADIANS(Dashboard!$B$53))*TAN(C358)))</f>
        <v/>
      </c>
      <c r="E358" s="1" t="str">
        <f aca="false">IF(A358="","",(24*60/PI())*0.082*(1+0.033*COS(2*PI()*B358/365))*(D358*SIN(RADIANS(Dashboard!$B$53))*SIN(C358)+COS(RADIANS(Dashboard!$B$53))*COS(C358)*SIN(D358)))</f>
        <v/>
      </c>
      <c r="F358" s="1" t="str">
        <f aca="false">IF(A358="","",24/PI()*D358)</f>
        <v/>
      </c>
      <c r="H358" s="1" t="n">
        <v>354</v>
      </c>
      <c r="I358" s="1" t="n">
        <f aca="false">0.409*SIN(2*PI()*H358/365-1.39)</f>
        <v>-0.408985015840775</v>
      </c>
      <c r="J358" s="1" t="n">
        <f aca="false">ACOS(-TAN(RADIANS(Dashboard!$B$53))*TAN(I358))</f>
        <v>1.44205464577364</v>
      </c>
      <c r="K358" s="1" t="n">
        <f aca="false">(24*60/PI())*0.082*(1+0.033*COS(2*PI()*H358/365))*(J358*SIN(RADIANS(Dashboard!$B$53))*SIN(I358)+COS(RADIANS(Dashboard!$B$53))*COS(I358)*SIN(J358))</f>
        <v>27.5348831369054</v>
      </c>
      <c r="L358" s="1" t="n">
        <f aca="false">24/PI()*J358</f>
        <v>11.0164860040083</v>
      </c>
    </row>
    <row r="359" customFormat="false" ht="15" hidden="false" customHeight="true" outlineLevel="0" collapsed="false">
      <c r="A359" s="1" t="str">
        <f aca="false">IF(OR(A358="",A358&gt;=Dashboard!$B$55),"",A358+1)</f>
        <v/>
      </c>
      <c r="B359" s="1" t="str">
        <f aca="false">IF(A359="","",A359-DATE(YEAR(A359),1,0))</f>
        <v/>
      </c>
      <c r="C359" s="1" t="str">
        <f aca="false">IF(A359="","",0.409*SIN(2*PI()*B359/365-1.39))</f>
        <v/>
      </c>
      <c r="D359" s="1" t="str">
        <f aca="false">IF(A359="","",ACOS(-TAN(RADIANS(Dashboard!$B$53))*TAN(C359)))</f>
        <v/>
      </c>
      <c r="E359" s="1" t="str">
        <f aca="false">IF(A359="","",(24*60/PI())*0.082*(1+0.033*COS(2*PI()*B359/365))*(D359*SIN(RADIANS(Dashboard!$B$53))*SIN(C359)+COS(RADIANS(Dashboard!$B$53))*COS(C359)*SIN(D359)))</f>
        <v/>
      </c>
      <c r="F359" s="1" t="str">
        <f aca="false">IF(A359="","",24/PI()*D359)</f>
        <v/>
      </c>
      <c r="H359" s="1" t="n">
        <v>355</v>
      </c>
      <c r="I359" s="1" t="n">
        <f aca="false">0.409*SIN(2*PI()*H359/365-1.39)</f>
        <v>-0.408984683806704</v>
      </c>
      <c r="J359" s="1" t="n">
        <f aca="false">ACOS(-TAN(RADIANS(Dashboard!$B$53))*TAN(I359))</f>
        <v>1.44205476357783</v>
      </c>
      <c r="K359" s="1" t="n">
        <f aca="false">(24*60/PI())*0.082*(1+0.033*COS(2*PI()*H359/365))*(J359*SIN(RADIANS(Dashboard!$B$53))*SIN(I359)+COS(RADIANS(Dashboard!$B$53))*COS(I359)*SIN(J359))</f>
        <v>27.53761640286</v>
      </c>
      <c r="L359" s="1" t="n">
        <f aca="false">24/PI()*J359</f>
        <v>11.0164869039661</v>
      </c>
    </row>
    <row r="360" customFormat="false" ht="15" hidden="false" customHeight="true" outlineLevel="0" collapsed="false">
      <c r="A360" s="1" t="str">
        <f aca="false">IF(OR(A359="",A359&gt;=Dashboard!$B$55),"",A359+1)</f>
        <v/>
      </c>
      <c r="B360" s="1" t="str">
        <f aca="false">IF(A360="","",A360-DATE(YEAR(A360),1,0))</f>
        <v/>
      </c>
      <c r="C360" s="1" t="str">
        <f aca="false">IF(A360="","",0.409*SIN(2*PI()*B360/365-1.39))</f>
        <v/>
      </c>
      <c r="D360" s="1" t="str">
        <f aca="false">IF(A360="","",ACOS(-TAN(RADIANS(Dashboard!$B$53))*TAN(C360)))</f>
        <v/>
      </c>
      <c r="E360" s="1" t="str">
        <f aca="false">IF(A360="","",(24*60/PI())*0.082*(1+0.033*COS(2*PI()*B360/365))*(D360*SIN(RADIANS(Dashboard!$B$53))*SIN(C360)+COS(RADIANS(Dashboard!$B$53))*COS(C360)*SIN(D360)))</f>
        <v/>
      </c>
      <c r="F360" s="1" t="str">
        <f aca="false">IF(A360="","",24/PI()*D360)</f>
        <v/>
      </c>
      <c r="H360" s="1" t="n">
        <v>356</v>
      </c>
      <c r="I360" s="1" t="n">
        <f aca="false">0.409*SIN(2*PI()*H360/365-1.39)</f>
        <v>-0.408863160784209</v>
      </c>
      <c r="J360" s="1" t="n">
        <f aca="false">ACOS(-TAN(RADIANS(Dashboard!$B$53))*TAN(I360))</f>
        <v>1.44209787700177</v>
      </c>
      <c r="K360" s="1" t="n">
        <f aca="false">(24*60/PI())*0.082*(1+0.033*COS(2*PI()*H360/365))*(J360*SIN(RADIANS(Dashboard!$B$53))*SIN(I360)+COS(RADIANS(Dashboard!$B$53))*COS(I360)*SIN(J360))</f>
        <v>27.5436387550768</v>
      </c>
      <c r="L360" s="1" t="n">
        <f aca="false">24/PI()*J360</f>
        <v>11.0168162662637</v>
      </c>
    </row>
    <row r="361" customFormat="false" ht="15" hidden="false" customHeight="true" outlineLevel="0" collapsed="false">
      <c r="A361" s="1" t="str">
        <f aca="false">IF(OR(A360="",A360&gt;=Dashboard!$B$55),"",A360+1)</f>
        <v/>
      </c>
      <c r="B361" s="1" t="str">
        <f aca="false">IF(A361="","",A361-DATE(YEAR(A361),1,0))</f>
        <v/>
      </c>
      <c r="C361" s="1" t="str">
        <f aca="false">IF(A361="","",0.409*SIN(2*PI()*B361/365-1.39))</f>
        <v/>
      </c>
      <c r="D361" s="1" t="str">
        <f aca="false">IF(A361="","",ACOS(-TAN(RADIANS(Dashboard!$B$53))*TAN(C361)))</f>
        <v/>
      </c>
      <c r="E361" s="1" t="str">
        <f aca="false">IF(A361="","",(24*60/PI())*0.082*(1+0.033*COS(2*PI()*B361/365))*(D361*SIN(RADIANS(Dashboard!$B$53))*SIN(C361)+COS(RADIANS(Dashboard!$B$53))*COS(C361)*SIN(D361)))</f>
        <v/>
      </c>
      <c r="F361" s="1" t="str">
        <f aca="false">IF(A361="","",24/PI()*D361)</f>
        <v/>
      </c>
      <c r="H361" s="1" t="n">
        <v>357</v>
      </c>
      <c r="I361" s="1" t="n">
        <f aca="false">0.409*SIN(2*PI()*H361/365-1.39)</f>
        <v>-0.408620482783184</v>
      </c>
      <c r="J361" s="1" t="n">
        <f aca="false">ACOS(-TAN(RADIANS(Dashboard!$B$53))*TAN(I361))</f>
        <v>1.44218395897362</v>
      </c>
      <c r="K361" s="1" t="n">
        <f aca="false">(24*60/PI())*0.082*(1+0.033*COS(2*PI()*H361/365))*(J361*SIN(RADIANS(Dashboard!$B$53))*SIN(I361)+COS(RADIANS(Dashboard!$B$53))*COS(I361)*SIN(J361))</f>
        <v>27.5529482333631</v>
      </c>
      <c r="L361" s="1" t="n">
        <f aca="false">24/PI()*J361</f>
        <v>11.0174738840875</v>
      </c>
    </row>
    <row r="362" customFormat="false" ht="15" hidden="false" customHeight="true" outlineLevel="0" collapsed="false">
      <c r="A362" s="1" t="str">
        <f aca="false">IF(OR(A361="",A361&gt;=Dashboard!$B$55),"",A361+1)</f>
        <v/>
      </c>
      <c r="B362" s="1" t="str">
        <f aca="false">IF(A362="","",A362-DATE(YEAR(A362),1,0))</f>
        <v/>
      </c>
      <c r="C362" s="1" t="str">
        <f aca="false">IF(A362="","",0.409*SIN(2*PI()*B362/365-1.39))</f>
        <v/>
      </c>
      <c r="D362" s="1" t="str">
        <f aca="false">IF(A362="","",ACOS(-TAN(RADIANS(Dashboard!$B$53))*TAN(C362)))</f>
        <v/>
      </c>
      <c r="E362" s="1" t="str">
        <f aca="false">IF(A362="","",(24*60/PI())*0.082*(1+0.033*COS(2*PI()*B362/365))*(D362*SIN(RADIANS(Dashboard!$B$53))*SIN(C362)+COS(RADIANS(Dashboard!$B$53))*COS(C362)*SIN(D362)))</f>
        <v/>
      </c>
      <c r="F362" s="1" t="str">
        <f aca="false">IF(A362="","",24/PI()*D362)</f>
        <v/>
      </c>
      <c r="H362" s="1" t="n">
        <v>358</v>
      </c>
      <c r="I362" s="1" t="n">
        <f aca="false">0.409*SIN(2*PI()*H362/365-1.39)</f>
        <v>-0.408256721714357</v>
      </c>
      <c r="J362" s="1" t="n">
        <f aca="false">ACOS(-TAN(RADIANS(Dashboard!$B$53))*TAN(I362))</f>
        <v>1.4423129554807</v>
      </c>
      <c r="K362" s="1" t="n">
        <f aca="false">(24*60/PI())*0.082*(1+0.033*COS(2*PI()*H362/365))*(J362*SIN(RADIANS(Dashboard!$B$53))*SIN(I362)+COS(RADIANS(Dashboard!$B$53))*COS(I362)*SIN(J362))</f>
        <v>27.5655406778886</v>
      </c>
      <c r="L362" s="1" t="n">
        <f aca="false">24/PI()*J362</f>
        <v>11.0184593448112</v>
      </c>
    </row>
    <row r="363" customFormat="false" ht="15" hidden="false" customHeight="true" outlineLevel="0" collapsed="false">
      <c r="A363" s="1" t="str">
        <f aca="false">IF(OR(A362="",A362&gt;=Dashboard!$B$55),"",A362+1)</f>
        <v/>
      </c>
      <c r="B363" s="1" t="str">
        <f aca="false">IF(A363="","",A363-DATE(YEAR(A363),1,0))</f>
        <v/>
      </c>
      <c r="C363" s="1" t="str">
        <f aca="false">IF(A363="","",0.409*SIN(2*PI()*B363/365-1.39))</f>
        <v/>
      </c>
      <c r="D363" s="1" t="str">
        <f aca="false">IF(A363="","",ACOS(-TAN(RADIANS(Dashboard!$B$53))*TAN(C363)))</f>
        <v/>
      </c>
      <c r="E363" s="1" t="str">
        <f aca="false">IF(A363="","",(24*60/PI())*0.082*(1+0.033*COS(2*PI()*B363/365))*(D363*SIN(RADIANS(Dashboard!$B$53))*SIN(C363)+COS(RADIANS(Dashboard!$B$53))*COS(C363)*SIN(D363)))</f>
        <v/>
      </c>
      <c r="F363" s="1" t="str">
        <f aca="false">IF(A363="","",24/PI()*D363)</f>
        <v/>
      </c>
      <c r="H363" s="1" t="n">
        <v>359</v>
      </c>
      <c r="I363" s="1" t="n">
        <f aca="false">0.409*SIN(2*PI()*H363/365-1.39)</f>
        <v>-0.407771985367985</v>
      </c>
      <c r="J363" s="1" t="n">
        <f aca="false">ACOS(-TAN(RADIANS(Dashboard!$B$53))*TAN(I363))</f>
        <v>1.44248478568309</v>
      </c>
      <c r="K363" s="1" t="n">
        <f aca="false">(24*60/PI())*0.082*(1+0.033*COS(2*PI()*H363/365))*(J363*SIN(RADIANS(Dashboard!$B$53))*SIN(I363)+COS(RADIANS(Dashboard!$B$53))*COS(I363)*SIN(J363))</f>
        <v>27.5814097299954</v>
      </c>
      <c r="L363" s="1" t="n">
        <f aca="false">24/PI()*J363</f>
        <v>11.0197720308632</v>
      </c>
    </row>
    <row r="364" customFormat="false" ht="15" hidden="false" customHeight="true" outlineLevel="0" collapsed="false">
      <c r="A364" s="1" t="str">
        <f aca="false">IF(OR(A363="",A363&gt;=Dashboard!$B$55),"",A363+1)</f>
        <v/>
      </c>
      <c r="B364" s="1" t="str">
        <f aca="false">IF(A364="","",A364-DATE(YEAR(A364),1,0))</f>
        <v/>
      </c>
      <c r="C364" s="1" t="str">
        <f aca="false">IF(A364="","",0.409*SIN(2*PI()*B364/365-1.39))</f>
        <v/>
      </c>
      <c r="D364" s="1" t="str">
        <f aca="false">IF(A364="","",ACOS(-TAN(RADIANS(Dashboard!$B$53))*TAN(C364)))</f>
        <v/>
      </c>
      <c r="E364" s="1" t="str">
        <f aca="false">IF(A364="","",(24*60/PI())*0.082*(1+0.033*COS(2*PI()*B364/365))*(D364*SIN(RADIANS(Dashboard!$B$53))*SIN(C364)+COS(RADIANS(Dashboard!$B$53))*COS(C364)*SIN(D364)))</f>
        <v/>
      </c>
      <c r="F364" s="1" t="str">
        <f aca="false">IF(A364="","",24/PI()*D364)</f>
        <v/>
      </c>
      <c r="H364" s="1" t="n">
        <v>360</v>
      </c>
      <c r="I364" s="1" t="n">
        <f aca="false">0.409*SIN(2*PI()*H364/365-1.39)</f>
        <v>-0.407166417381909</v>
      </c>
      <c r="J364" s="1" t="n">
        <f aca="false">ACOS(-TAN(RADIANS(Dashboard!$B$53))*TAN(I364))</f>
        <v>1.44269934208335</v>
      </c>
      <c r="K364" s="1" t="n">
        <f aca="false">(24*60/PI())*0.082*(1+0.033*COS(2*PI()*H364/365))*(J364*SIN(RADIANS(Dashboard!$B$53))*SIN(I364)+COS(RADIANS(Dashboard!$B$53))*COS(I364)*SIN(J364))</f>
        <v>27.6005468343335</v>
      </c>
      <c r="L364" s="1" t="n">
        <f aca="false">24/PI()*J364</f>
        <v>11.0214111210235</v>
      </c>
    </row>
    <row r="365" customFormat="false" ht="15" hidden="false" customHeight="true" outlineLevel="0" collapsed="false">
      <c r="A365" s="1" t="str">
        <f aca="false">IF(OR(A364="",A364&gt;=Dashboard!$B$55),"",A364+1)</f>
        <v/>
      </c>
      <c r="B365" s="1" t="str">
        <f aca="false">IF(A365="","",A365-DATE(YEAR(A365),1,0))</f>
        <v/>
      </c>
      <c r="C365" s="1" t="str">
        <f aca="false">IF(A365="","",0.409*SIN(2*PI()*B365/365-1.39))</f>
        <v/>
      </c>
      <c r="D365" s="1" t="str">
        <f aca="false">IF(A365="","",ACOS(-TAN(RADIANS(Dashboard!$B$53))*TAN(C365)))</f>
        <v/>
      </c>
      <c r="E365" s="1" t="str">
        <f aca="false">IF(A365="","",(24*60/PI())*0.082*(1+0.033*COS(2*PI()*B365/365))*(D365*SIN(RADIANS(Dashboard!$B$53))*SIN(C365)+COS(RADIANS(Dashboard!$B$53))*COS(C365)*SIN(D365)))</f>
        <v/>
      </c>
      <c r="F365" s="1" t="str">
        <f aca="false">IF(A365="","",24/PI()*D365)</f>
        <v/>
      </c>
      <c r="H365" s="1" t="n">
        <v>361</v>
      </c>
      <c r="I365" s="1" t="n">
        <f aca="false">0.409*SIN(2*PI()*H365/365-1.39)</f>
        <v>-0.406440197198991</v>
      </c>
      <c r="J365" s="1" t="n">
        <f aca="false">ACOS(-TAN(RADIANS(Dashboard!$B$53))*TAN(I365))</f>
        <v>1.44295649075164</v>
      </c>
      <c r="K365" s="1" t="n">
        <f aca="false">(24*60/PI())*0.082*(1+0.033*COS(2*PI()*H365/365))*(J365*SIN(RADIANS(Dashboard!$B$53))*SIN(I365)+COS(RADIANS(Dashboard!$B$53))*COS(I365)*SIN(J365))</f>
        <v>27.6229412423339</v>
      </c>
      <c r="L365" s="1" t="n">
        <f aca="false">24/PI()*J365</f>
        <v>11.0233755921436</v>
      </c>
    </row>
    <row r="366" customFormat="false" ht="15" hidden="false" customHeight="true" outlineLevel="0" collapsed="false">
      <c r="A366" s="1" t="str">
        <f aca="false">IF(OR(A365="",A365&gt;=Dashboard!$B$55),"",A365+1)</f>
        <v/>
      </c>
      <c r="B366" s="1" t="str">
        <f aca="false">IF(A366="","",A366-DATE(YEAR(A366),1,0))</f>
        <v/>
      </c>
      <c r="C366" s="1" t="str">
        <f aca="false">IF(A366="","",0.409*SIN(2*PI()*B366/365-1.39))</f>
        <v/>
      </c>
      <c r="D366" s="1" t="str">
        <f aca="false">IF(A366="","",ACOS(-TAN(RADIANS(Dashboard!$B$53))*TAN(C366)))</f>
        <v/>
      </c>
      <c r="E366" s="1" t="str">
        <f aca="false">IF(A366="","",(24*60/PI())*0.082*(1+0.033*COS(2*PI()*B366/365))*(D366*SIN(RADIANS(Dashboard!$B$53))*SIN(C366)+COS(RADIANS(Dashboard!$B$53))*COS(C366)*SIN(D366)))</f>
        <v/>
      </c>
      <c r="F366" s="1" t="str">
        <f aca="false">IF(A366="","",24/PI()*D366)</f>
        <v/>
      </c>
      <c r="H366" s="1" t="n">
        <v>362</v>
      </c>
      <c r="I366" s="1" t="n">
        <f aca="false">0.409*SIN(2*PI()*H366/365-1.39)</f>
        <v>-0.405593540013945</v>
      </c>
      <c r="J366" s="1" t="n">
        <f aca="false">ACOS(-TAN(RADIANS(Dashboard!$B$53))*TAN(I366))</f>
        <v>1.44325607160526</v>
      </c>
      <c r="K366" s="1" t="n">
        <f aca="false">(24*60/PI())*0.082*(1+0.033*COS(2*PI()*H366/365))*(J366*SIN(RADIANS(Dashboard!$B$53))*SIN(I366)+COS(RADIANS(Dashboard!$B$53))*COS(I366)*SIN(J366))</f>
        <v>27.6485800170304</v>
      </c>
      <c r="L366" s="1" t="n">
        <f aca="false">24/PI()*J366</f>
        <v>11.0256642212817</v>
      </c>
    </row>
    <row r="367" customFormat="false" ht="15" hidden="false" customHeight="true" outlineLevel="0" collapsed="false">
      <c r="A367" s="1" t="str">
        <f aca="false">IF(OR(A366="",A366&gt;=Dashboard!$B$55),"",A366+1)</f>
        <v/>
      </c>
      <c r="B367" s="1" t="str">
        <f aca="false">IF(A367="","",A367-DATE(YEAR(A367),1,0))</f>
        <v/>
      </c>
      <c r="C367" s="1" t="str">
        <f aca="false">IF(A367="","",0.409*SIN(2*PI()*B367/365-1.39))</f>
        <v/>
      </c>
      <c r="D367" s="1" t="str">
        <f aca="false">IF(A367="","",ACOS(-TAN(RADIANS(Dashboard!$B$53))*TAN(C367)))</f>
        <v/>
      </c>
      <c r="E367" s="1" t="str">
        <f aca="false">IF(A367="","",(24*60/PI())*0.082*(1+0.033*COS(2*PI()*B367/365))*(D367*SIN(RADIANS(Dashboard!$B$53))*SIN(C367)+COS(RADIANS(Dashboard!$B$53))*COS(C367)*SIN(D367)))</f>
        <v/>
      </c>
      <c r="F367" s="1" t="str">
        <f aca="false">IF(A367="","",24/PI()*D367)</f>
        <v/>
      </c>
      <c r="H367" s="1" t="n">
        <v>363</v>
      </c>
      <c r="I367" s="1" t="n">
        <f aca="false">0.409*SIN(2*PI()*H367/365-1.39)</f>
        <v>-0.404626696709567</v>
      </c>
      <c r="J367" s="1" t="n">
        <f aca="false">ACOS(-TAN(RADIANS(Dashboard!$B$53))*TAN(I367))</f>
        <v>1.44359789874152</v>
      </c>
      <c r="K367" s="1" t="n">
        <f aca="false">(24*60/PI())*0.082*(1+0.033*COS(2*PI()*H367/365))*(J367*SIN(RADIANS(Dashboard!$B$53))*SIN(I367)+COS(RADIANS(Dashboard!$B$53))*COS(I367)*SIN(J367))</f>
        <v>27.677448039244</v>
      </c>
      <c r="L367" s="1" t="n">
        <f aca="false">24/PI()*J367</f>
        <v>11.0282755882457</v>
      </c>
    </row>
    <row r="368" customFormat="false" ht="15" hidden="false" customHeight="true" outlineLevel="0" collapsed="false">
      <c r="A368" s="1" t="str">
        <f aca="false">IF(OR(A367="",A367&gt;=Dashboard!$B$55),"",A367+1)</f>
        <v/>
      </c>
      <c r="B368" s="1" t="str">
        <f aca="false">IF(A368="","",A368-DATE(YEAR(A368),1,0))</f>
        <v/>
      </c>
      <c r="C368" s="1" t="str">
        <f aca="false">IF(A368="","",0.409*SIN(2*PI()*B368/365-1.39))</f>
        <v/>
      </c>
      <c r="D368" s="1" t="str">
        <f aca="false">IF(A368="","",ACOS(-TAN(RADIANS(Dashboard!$B$53))*TAN(C368)))</f>
        <v/>
      </c>
      <c r="E368" s="1" t="str">
        <f aca="false">IF(A368="","",(24*60/PI())*0.082*(1+0.033*COS(2*PI()*B368/365))*(D368*SIN(RADIANS(Dashboard!$B$53))*SIN(C368)+COS(RADIANS(Dashboard!$B$53))*COS(C368)*SIN(D368)))</f>
        <v/>
      </c>
      <c r="F368" s="1" t="str">
        <f aca="false">IF(A368="","",24/PI()*D368)</f>
        <v/>
      </c>
      <c r="H368" s="1" t="n">
        <v>364</v>
      </c>
      <c r="I368" s="1" t="n">
        <f aca="false">0.409*SIN(2*PI()*H368/365-1.39)</f>
        <v>-0.403539953782395</v>
      </c>
      <c r="J368" s="1" t="n">
        <f aca="false">ACOS(-TAN(RADIANS(Dashboard!$B$53))*TAN(I368))</f>
        <v>1.44398176082236</v>
      </c>
      <c r="K368" s="1" t="n">
        <f aca="false">(24*60/PI())*0.082*(1+0.033*COS(2*PI()*H368/365))*(J368*SIN(RADIANS(Dashboard!$B$53))*SIN(I368)+COS(RADIANS(Dashboard!$B$53))*COS(I368)*SIN(J368))</f>
        <v>27.7095280151467</v>
      </c>
      <c r="L368" s="1" t="n">
        <f aca="false">24/PI()*J368</f>
        <v>11.0312080785321</v>
      </c>
    </row>
    <row r="369" customFormat="false" ht="15" hidden="false" customHeight="true" outlineLevel="0" collapsed="false">
      <c r="A369" s="1" t="str">
        <f aca="false">IF(OR(A368="",A368&gt;=Dashboard!$B$55),"",A368+1)</f>
        <v/>
      </c>
      <c r="B369" s="1" t="str">
        <f aca="false">IF(A369="","",A369-DATE(YEAR(A369),1,0))</f>
        <v/>
      </c>
      <c r="C369" s="1" t="str">
        <f aca="false">IF(A369="","",0.409*SIN(2*PI()*B369/365-1.39))</f>
        <v/>
      </c>
      <c r="D369" s="1" t="str">
        <f aca="false">IF(A369="","",ACOS(-TAN(RADIANS(Dashboard!$B$53))*TAN(C369)))</f>
        <v/>
      </c>
      <c r="E369" s="1" t="str">
        <f aca="false">IF(A369="","",(24*60/PI())*0.082*(1+0.033*COS(2*PI()*B369/365))*(D369*SIN(RADIANS(Dashboard!$B$53))*SIN(C369)+COS(RADIANS(Dashboard!$B$53))*COS(C369)*SIN(D369)))</f>
        <v/>
      </c>
      <c r="F369" s="1" t="str">
        <f aca="false">IF(A369="","",24/PI()*D369)</f>
        <v/>
      </c>
      <c r="H369" s="1" t="n">
        <v>365</v>
      </c>
      <c r="I369" s="1" t="n">
        <f aca="false">0.409*SIN(2*PI()*H369/365-1.39)</f>
        <v>-0.402333633257812</v>
      </c>
      <c r="J369" s="1" t="n">
        <f aca="false">ACOS(-TAN(RADIANS(Dashboard!$B$53))*TAN(I369))</f>
        <v>1.44440742150938</v>
      </c>
      <c r="K369" s="1" t="n">
        <f aca="false">(24*60/PI())*0.082*(1+0.033*COS(2*PI()*H369/365))*(J369*SIN(RADIANS(Dashboard!$B$53))*SIN(I369)+COS(RADIANS(Dashboard!$B$53))*COS(I369)*SIN(J369))</f>
        <v>27.7448004852215</v>
      </c>
      <c r="L369" s="1" t="n">
        <f aca="false">24/PI()*J369</f>
        <v>11.0344598866481</v>
      </c>
    </row>
    <row r="370" customFormat="false" ht="15" hidden="false" customHeight="true" outlineLevel="0" collapsed="false">
      <c r="A370" s="1" t="str">
        <f aca="false">IF(OR(A369="",A369&gt;=Dashboard!$B$55),"",A369+1)</f>
        <v/>
      </c>
      <c r="B370" s="1" t="str">
        <f aca="false">IF(A370="","",A370-DATE(YEAR(A370),1,0))</f>
        <v/>
      </c>
      <c r="C370" s="1" t="str">
        <f aca="false">IF(A370="","",0.409*SIN(2*PI()*B370/365-1.39))</f>
        <v/>
      </c>
      <c r="D370" s="1" t="str">
        <f aca="false">IF(A370="","",ACOS(-TAN(RADIANS(Dashboard!$B$53))*TAN(C370)))</f>
        <v/>
      </c>
      <c r="E370" s="1" t="str">
        <f aca="false">IF(A370="","",(24*60/PI())*0.082*(1+0.033*COS(2*PI()*B370/365))*(D370*SIN(RADIANS(Dashboard!$B$53))*SIN(C370)+COS(RADIANS(Dashboard!$B$53))*COS(C370)*SIN(D370)))</f>
        <v/>
      </c>
      <c r="F370" s="1" t="str">
        <f aca="false">IF(A370="","",24/PI()*D370)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2026-07-15T05:30:53Z</dcterms:created>
  <dc:creator>openpyxl</dc:creator>
  <dc:description/>
  <dc:language>en-US</dc:language>
  <cp:lastModifiedBy/>
  <dcterms:modified xsi:type="dcterms:W3CDTF">2026-08-18T11:53:49Z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