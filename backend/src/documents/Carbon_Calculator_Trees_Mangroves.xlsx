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530" firstSheet="1" activeTab="4"/>
  </bookViews>
  <sheets>
    <sheet name="README" sheetId="1" r:id="rId1"/>
    <sheet name="Reference Factors" sheetId="2" r:id="rId2"/>
    <sheet name="Trees - Tree Count" sheetId="3" r:id="rId3"/>
    <sheet name="Mangroves - Blue Carbon" sheetId="4" r:id="rId4"/>
    <sheet name="Trees - By Category" sheetId="5" r:id="rId5"/>
    <sheet name="Summary" sheetId="6" r:id="rId6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5" l="1"/>
  <c r="E20" i="5"/>
  <c r="E19" i="5"/>
  <c r="F19" i="5" s="1"/>
  <c r="H19" i="5" s="1"/>
  <c r="E18" i="5"/>
  <c r="F18" i="5" s="1"/>
  <c r="H18" i="5" s="1"/>
  <c r="H21" i="5" s="1"/>
  <c r="C6" i="6" s="1"/>
  <c r="E7" i="5"/>
  <c r="C7" i="5"/>
  <c r="C15" i="4"/>
  <c r="C10" i="4"/>
  <c r="C9" i="4"/>
  <c r="C14" i="4" s="1"/>
  <c r="C16" i="4" s="1"/>
  <c r="C17" i="4" s="1"/>
  <c r="D31" i="3"/>
  <c r="G30" i="3"/>
  <c r="H30" i="3" s="1"/>
  <c r="F30" i="3"/>
  <c r="G29" i="3"/>
  <c r="H29" i="3" s="1"/>
  <c r="F29" i="3"/>
  <c r="G28" i="3"/>
  <c r="H28" i="3" s="1"/>
  <c r="F28" i="3"/>
  <c r="G27" i="3"/>
  <c r="H27" i="3" s="1"/>
  <c r="F27" i="3"/>
  <c r="G26" i="3"/>
  <c r="H26" i="3" s="1"/>
  <c r="F26" i="3"/>
  <c r="G25" i="3"/>
  <c r="H25" i="3" s="1"/>
  <c r="F25" i="3"/>
  <c r="G24" i="3"/>
  <c r="H24" i="3" s="1"/>
  <c r="F24" i="3"/>
  <c r="G23" i="3"/>
  <c r="H23" i="3" s="1"/>
  <c r="F23" i="3"/>
  <c r="G22" i="3"/>
  <c r="H22" i="3" s="1"/>
  <c r="F22" i="3"/>
  <c r="G21" i="3"/>
  <c r="H21" i="3" s="1"/>
  <c r="F21" i="3"/>
  <c r="G20" i="3"/>
  <c r="H20" i="3" s="1"/>
  <c r="F20" i="3"/>
  <c r="G19" i="3"/>
  <c r="H19" i="3" s="1"/>
  <c r="F19" i="3"/>
  <c r="G18" i="3"/>
  <c r="H18" i="3" s="1"/>
  <c r="F18" i="3"/>
  <c r="G17" i="3"/>
  <c r="H17" i="3" s="1"/>
  <c r="F17" i="3"/>
  <c r="G16" i="3"/>
  <c r="H16" i="3" s="1"/>
  <c r="F16" i="3"/>
  <c r="G15" i="3"/>
  <c r="H15" i="3" s="1"/>
  <c r="F15" i="3"/>
  <c r="G14" i="3"/>
  <c r="H14" i="3" s="1"/>
  <c r="F14" i="3"/>
  <c r="G13" i="3"/>
  <c r="H13" i="3" s="1"/>
  <c r="F13" i="3"/>
  <c r="G12" i="3"/>
  <c r="H12" i="3" s="1"/>
  <c r="F12" i="3"/>
  <c r="F11" i="3"/>
  <c r="G11" i="3" s="1"/>
  <c r="E11" i="3"/>
  <c r="C8" i="2"/>
  <c r="F20" i="5" s="1"/>
  <c r="H20" i="5" s="1"/>
  <c r="C18" i="4" l="1"/>
  <c r="C7" i="6"/>
  <c r="C8" i="6" s="1"/>
  <c r="H11" i="3"/>
  <c r="H31" i="3" s="1"/>
  <c r="C11" i="6" s="1"/>
  <c r="G31" i="3"/>
</calcChain>
</file>

<file path=xl/sharedStrings.xml><?xml version="1.0" encoding="utf-8"?>
<sst xmlns="http://schemas.openxmlformats.org/spreadsheetml/2006/main" count="180" uniqueCount="141">
  <si>
    <t>Reference Factors &amp; Default Rates</t>
  </si>
  <si>
    <t>All calculators reference these cells. Edit a YELLOW default to update it everywhere.</t>
  </si>
  <si>
    <t>KEY:</t>
  </si>
  <si>
    <t>Input</t>
  </si>
  <si>
    <t>Fixed</t>
  </si>
  <si>
    <t>Calculated</t>
  </si>
  <si>
    <t>Universal conversion constants</t>
  </si>
  <si>
    <t>Parameter</t>
  </si>
  <si>
    <t>Value</t>
  </si>
  <si>
    <t>Unit</t>
  </si>
  <si>
    <t>Source / Notes</t>
  </si>
  <si>
    <t>Carbon fraction of biomass (CF)</t>
  </si>
  <si>
    <t>t C / t d.m.</t>
  </si>
  <si>
    <t>IPCC 2006 GL Vol.4, default for biomass</t>
  </si>
  <si>
    <t>CO2 : C molecular ratio</t>
  </si>
  <si>
    <t>t CO2 / t C</t>
  </si>
  <si>
    <t>44/12 = 3.667 (fixed constant)</t>
  </si>
  <si>
    <t>Root-to-shoot ratios (belowground : aboveground biomass, R)</t>
  </si>
  <si>
    <t>Tropical/subtropical forest (general)</t>
  </si>
  <si>
    <t>ratio</t>
  </si>
  <si>
    <t>IPCC 2006 GL Vol.4 Table 4.4</t>
  </si>
  <si>
    <t>Mangrove</t>
  </si>
  <si>
    <t>Komiyama et al. 2005; IPCC 2013 Wetlands Suppl.</t>
  </si>
  <si>
    <t>Default aboveground biomass growth rates (young stands)</t>
  </si>
  <si>
    <t>Tropical moist plantation (broadleaf)</t>
  </si>
  <si>
    <t>t d.m./ha/yr</t>
  </si>
  <si>
    <t>IPCC 2006 GL Vol.4 Table 4.10 (indicative)</t>
  </si>
  <si>
    <t>Tropical dry / subtropical plantation</t>
  </si>
  <si>
    <t>Mangrove aboveground biomass growth</t>
  </si>
  <si>
    <t>Literature mean; override with local data</t>
  </si>
  <si>
    <t>Mangrove soil organic carbon accumulation</t>
  </si>
  <si>
    <t>Soil organic C accumulation rate</t>
  </si>
  <si>
    <t>t C/ha/yr</t>
  </si>
  <si>
    <t>IPCC 2013 Wetlands Suppl. Tier-1 mangrove; conservative</t>
  </si>
  <si>
    <t>Carbon Sequestration Calculator — Trees &amp; Mangroves</t>
  </si>
  <si>
    <t>Interim tool based on Verra VCS, UNFCCC/CDM and IPCC standard factors. Measures EXISTING carbon. v1.5</t>
  </si>
  <si>
    <t>HOW TO USE</t>
  </si>
  <si>
    <t>Colour key on every tab: YELLOW = you (or the AI) enter this  ·  BLUE = fixed constant, leave it  ·  GREEN = auto-calculated, never type here. So you only ever edit the yellow cells.</t>
  </si>
  <si>
    <t>THE TABS</t>
  </si>
  <si>
    <t>1. Reference Factors — default constants and rates in one place, each with a cited source.</t>
  </si>
  <si>
    <t>2. Trees - By Size Category (PRIMARY) — count trees per size (Small / Medium / Large), judged from trunk, height and canopy. Each size has one fixed CO2e/tree. Built for a photo AI to auto-assign the size; tree count is the only input.</t>
  </si>
  <si>
    <t>3. Trees - Tree Count — alternative for field-measured trees (per-tree DBH). Cross-check only; estimates the same trees as tab 2.</t>
  </si>
  <si>
    <t>4. Mangroves - Carbon Stored — for EXISTING mangroves: carbon already held (biomass + soil), from area. No accounting period.</t>
  </si>
  <si>
    <t>5. Summary — totals the existing-carbon methods (trees by size + mangroves).</t>
  </si>
  <si>
    <t>THE CORE EQUATION (used everywhere)</t>
  </si>
  <si>
    <t>CO2e (tonnes) = Biomass (t dry matter) × Carbon Fraction (0.47) × 44/12</t>
  </si>
  <si>
    <t>Belowground biomass is added via a root-to-shoot ratio. 44/12 (=3.667) converts carbon to CO2.</t>
  </si>
  <si>
    <t>IMPORTANT — READ BEFORE RELYING ON NUMBERS</t>
  </si>
  <si>
    <t>This is a planning/estimation tool for interim use, not a registered Verra quantification. It reports EXISTING carbon stock (what is stored now), not future growth. Real credit issuance additionally requires baseline, additionality, leakage, buffer (non-permanence) deductions and third-party validation — none modelled here. Replace default densities and factors with local measured data whenever available.</t>
  </si>
  <si>
    <t>KEY SOURCES</t>
  </si>
  <si>
    <t>Verra VM0047 Afforestation, Reforestation &amp; Revegetation v1.1; Verra VM0033 Tidal Wetland &amp; Seagrass Restoration v2.1; UNFCCC CDM AR-TOOL14 (carbon stocks in trees/shrubs); IPCC 2006 GL for National GHG Inventories Vol.4 (AFOLU) &amp; 2013 Wetlands Supplement.</t>
  </si>
  <si>
    <t>Trees — Tree-Count / Allometric Calculator (AR-TOOL14 style)</t>
  </si>
  <si>
    <t>Use with surveyed tree data. Default equation: AGB = exp(-2.134 + 2.530×ln(DBH))  [Brown 1997, tropical].</t>
  </si>
  <si>
    <t>Allometric coefficients (edit if using a species-specific equation)</t>
  </si>
  <si>
    <t>Coefficient a</t>
  </si>
  <si>
    <t>Coefficient b</t>
  </si>
  <si>
    <t>Form: AGB = exp(a + b·ln(DBH))</t>
  </si>
  <si>
    <t>Tree inventory  —  add rows as needed (example row shown)</t>
  </si>
  <si>
    <t>Species / group</t>
  </si>
  <si>
    <t>Avg DBH</t>
  </si>
  <si>
    <t>Tree count</t>
  </si>
  <si>
    <t>R (below:above)</t>
  </si>
  <si>
    <t>AGB per tree</t>
  </si>
  <si>
    <t>Total biomass</t>
  </si>
  <si>
    <t>CO2e</t>
  </si>
  <si>
    <t>cm</t>
  </si>
  <si>
    <t>count</t>
  </si>
  <si>
    <t>kg d.m.</t>
  </si>
  <si>
    <t>t d.m.</t>
  </si>
  <si>
    <t>t CO2e</t>
  </si>
  <si>
    <t>Rhizophora (example)</t>
  </si>
  <si>
    <t>TOTAL</t>
  </si>
  <si>
    <t>Note: this estimates carbon stock CURRENTLY STANDING in the inventoried trees, not annual accrual. DBH in cm; AGB equation returns kg dry matter per tree.</t>
  </si>
  <si>
    <t>Mangroves — Carbon Already Stored (standing stock)</t>
  </si>
  <si>
    <t>For EXISTING / mature mangroves: how much carbon they hold now. Enter the area; no accounting period. Counts biomass AND soil organic carbon — the dominant pool in mangroves.</t>
  </si>
  <si>
    <t>Inputs</t>
  </si>
  <si>
    <t>Project / site name</t>
  </si>
  <si>
    <t>Example: Coastal Mangrove</t>
  </si>
  <si>
    <t>Existing mangrove area</t>
  </si>
  <si>
    <t>hectares</t>
  </si>
  <si>
    <t>Aboveground biomass density</t>
  </si>
  <si>
    <t>t d.m./ha</t>
  </si>
  <si>
    <t>Root-to-shoot ratio (R)</t>
  </si>
  <si>
    <t>Carbon fraction (CF)</t>
  </si>
  <si>
    <t>t C/t d.m.</t>
  </si>
  <si>
    <t>Soil organic carbon stock</t>
  </si>
  <si>
    <t>t C/ha</t>
  </si>
  <si>
    <t>Results — carbon standing now</t>
  </si>
  <si>
    <t>Biomass carbon stored</t>
  </si>
  <si>
    <t>t C</t>
  </si>
  <si>
    <t>Soil carbon stored</t>
  </si>
  <si>
    <t>Total carbon stored</t>
  </si>
  <si>
    <t>TOTAL CO2e STORED</t>
  </si>
  <si>
    <t>CO2e per hectare</t>
  </si>
  <si>
    <t>t CO2e/ha</t>
  </si>
  <si>
    <t>Method: Biomass C = area × AGB density × (1+R) × CF ; Soil C = area × soil C stock ; CO2e = (Biomass C + Soil C) × 44/12. No years — this is carbon already held, not accumulation.</t>
  </si>
  <si>
    <t>Defaults (AGB 150 t d.m./ha, soil 386 t C/ha) give ~484 t C/ha, near the IPCC Tier-1 mangrove default of ~511 t C/ha. Mangrove soil carbon varies widely — replace with local soil-core data where possible.</t>
  </si>
  <si>
    <t>Trees — By Size Category (generic; no species needed)</t>
  </si>
  <si>
    <t>Works for thousands of unknown, mixed trees. The AI in the UI reads three mandatory cues from the photo — trunk thickness, height, and canopy — and assigns Small / Medium / Large. Each size has one fixed CO2e/tree.</t>
  </si>
  <si>
    <t>Method settings (edit only if tuning the model)</t>
  </si>
  <si>
    <t>Allometric coefficient a</t>
  </si>
  <si>
    <t>coefficient b</t>
  </si>
  <si>
    <t>AGB(kg) = exp(a + b·ln(DBH)) × biomass factor</t>
  </si>
  <si>
    <t>Root-to-shoot (R)</t>
  </si>
  <si>
    <t>Carbon fraction</t>
  </si>
  <si>
    <t>Size category — AI reads all three cues (all mandatory). Priority: trunk &gt; height &gt; canopy</t>
  </si>
  <si>
    <t>Size category</t>
  </si>
  <si>
    <t>Trunk diameter (DBH)</t>
  </si>
  <si>
    <t>Height</t>
  </si>
  <si>
    <t>Canopy appearance</t>
  </si>
  <si>
    <t>Small</t>
  </si>
  <si>
    <t>under ~15 cm</t>
  </si>
  <si>
    <t>under ~5 m</t>
  </si>
  <si>
    <t>small, sparse crown</t>
  </si>
  <si>
    <t>Medium</t>
  </si>
  <si>
    <t>~15 – 30 cm</t>
  </si>
  <si>
    <t>~5 – 12 m</t>
  </si>
  <si>
    <t>full, well-developed crown</t>
  </si>
  <si>
    <t>Large</t>
  </si>
  <si>
    <t>over ~30 cm</t>
  </si>
  <si>
    <t>over ~12 m</t>
  </si>
  <si>
    <t>large, broad spreading canopy</t>
  </si>
  <si>
    <t>All three cues are required. Trunk diameter is the strongest predictor and wins if cues disagree; height breaks ties; canopy confirms. Absolute size needs a scale reference in the photo (person, stake, or AR/LiDAR).</t>
  </si>
  <si>
    <t>Size categories &amp; counts  —  edit Rep. DBH, Biomass factor, Tree count (yellow)</t>
  </si>
  <si>
    <t>Rep. DBH (cm)</t>
  </si>
  <si>
    <t>Biomass factor</t>
  </si>
  <si>
    <t>AGB/tree (kg)</t>
  </si>
  <si>
    <t>CO2e/tree (t)</t>
  </si>
  <si>
    <t>Total CO2e (t)</t>
  </si>
  <si>
    <t>How it works: the AI returns a size (Small/Medium/Large) from the three cues; the UI looks up that row's CO2e/tree and multiplies by the count. You only edit Tree count.</t>
  </si>
  <si>
    <t>Biomass factor is a single blended value (1.0 = average tropical tree) since species are unknown. If a site is mostly palms, lower it (~0.3); mostly dense hardwood, raise it (~1.1). Standing stock, not annual growth.</t>
  </si>
  <si>
    <t>Portfolio Summary</t>
  </si>
  <si>
    <t>Existing carbon stored now (standing stock). Trees use the photo/size method; mangroves use area.</t>
  </si>
  <si>
    <t>Method</t>
  </si>
  <si>
    <t>Total CO2e stored (t)</t>
  </si>
  <si>
    <t>Trees — By Size Category (primary)</t>
  </si>
  <si>
    <t>Mangroves — Carbon Stored</t>
  </si>
  <si>
    <t>TOTAL EXISTING CO2e</t>
  </si>
  <si>
    <t>Alternative tree method (cross-check only — NOT added above):</t>
  </si>
  <si>
    <t>Trees — Tree Count (field-measured DBH)</t>
  </si>
  <si>
    <t>Gross existing carbon stock for planning — before baseline, leakage and buffer deductions and third-party validation. By Size Category and Tree Count are two ways to estimate the SAME trees; use one, not both.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</si>
</sst>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#,##0.0"/>
  </numFmts>
  <fonts count="17" x14ac:knownFonts="1">
    <font>
      <sz val="11"/>
      <color theme="1"/>
      <name val="Calibri"/>
      <family val="2"/>
      <charset val="1"/>
    </font>
    <font>
      <b/>
      <sz val="16"/>
      <color rgb="FF1F4E23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1"/>
      <color rgb="FF1F4E23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b/>
      <sz val="9"/>
      <name val="Arial"/>
      <family val="2"/>
    </font>
    <font>
      <b/>
      <sz val="13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</font>
    <font>
      <b/>
      <sz val="16"/>
      <color rgb="FF1F4E23"/>
      <name val="Arial"/>
      <family val="2"/>
    </font>
    <font>
      <i/>
      <sz val="9"/>
      <color rgb="FF595959"/>
      <name val="Arial"/>
      <family val="2"/>
    </font>
    <font>
      <b/>
      <sz val="13"/>
      <color rgb="FFFFFFFF"/>
      <name val="Arial"/>
      <family val="2"/>
    </font>
    <font>
      <sz val="10"/>
      <name val="Arial"/>
      <family val="2"/>
    </font>
    <font>
      <b/>
      <sz val="11"/>
      <color rgb="FF1F4E2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4E23"/>
        <bgColor rgb="FF333300"/>
      </patternFill>
    </fill>
    <fill>
      <patternFill patternType="solid">
        <fgColor rgb="FFA9D08E"/>
        <bgColor rgb="FFC6E0B4"/>
      </patternFill>
    </fill>
    <fill>
      <patternFill patternType="solid">
        <fgColor rgb="FFC6E0B4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9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/>
    </xf>
    <xf numFmtId="2" fontId="9" fillId="3" borderId="1" xfId="0" applyNumberFormat="1" applyFont="1" applyFill="1" applyBorder="1" applyAlignment="1">
      <alignment horizontal="right" vertical="center"/>
    </xf>
    <xf numFmtId="165" fontId="9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5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/>
    <xf numFmtId="0" fontId="0" fillId="7" borderId="1" xfId="0" applyFill="1" applyBorder="1"/>
    <xf numFmtId="3" fontId="3" fillId="4" borderId="1" xfId="0" applyNumberFormat="1" applyFont="1" applyFill="1" applyBorder="1"/>
    <xf numFmtId="4" fontId="3" fillId="4" borderId="1" xfId="0" applyNumberFormat="1" applyFont="1" applyFill="1" applyBorder="1" applyAlignment="1">
      <alignment horizontal="right" vertical="center"/>
    </xf>
    <xf numFmtId="0" fontId="12" fillId="0" borderId="0" xfId="0" applyFont="1"/>
    <xf numFmtId="0" fontId="13" fillId="0" borderId="0" xfId="0" applyFont="1"/>
    <xf numFmtId="0" fontId="14" fillId="5" borderId="0" xfId="0" applyFont="1" applyFill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1" fontId="9" fillId="3" borderId="1" xfId="0" applyNumberFormat="1" applyFont="1" applyFill="1" applyBorder="1" applyAlignment="1">
      <alignment horizontal="right" vertical="center"/>
    </xf>
    <xf numFmtId="166" fontId="9" fillId="4" borderId="1" xfId="0" applyNumberFormat="1" applyFont="1" applyFill="1" applyBorder="1" applyAlignment="1">
      <alignment horizontal="right" vertical="center"/>
    </xf>
    <xf numFmtId="3" fontId="16" fillId="7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166" fontId="15" fillId="4" borderId="1" xfId="0" applyNumberFormat="1" applyFont="1" applyFill="1" applyBorder="1" applyAlignment="1">
      <alignment horizontal="right" vertical="center"/>
    </xf>
    <xf numFmtId="164" fontId="15" fillId="4" borderId="1" xfId="0" applyNumberFormat="1" applyFont="1" applyFill="1" applyBorder="1" applyAlignment="1">
      <alignment horizontal="right" vertical="center"/>
    </xf>
    <xf numFmtId="4" fontId="15" fillId="4" borderId="1" xfId="0" applyNumberFormat="1" applyFont="1" applyFill="1" applyBorder="1" applyAlignment="1">
      <alignment horizontal="right" vertical="center"/>
    </xf>
    <xf numFmtId="0" fontId="16" fillId="7" borderId="1" xfId="0" applyFont="1" applyFill="1" applyBorder="1"/>
    <xf numFmtId="0" fontId="0" fillId="4" borderId="1" xfId="0" applyFill="1" applyBorder="1"/>
    <xf numFmtId="3" fontId="16" fillId="4" borderId="1" xfId="0" applyNumberFormat="1" applyFont="1" applyFill="1" applyBorder="1" applyAlignment="1">
      <alignment horizontal="right" vertical="center"/>
    </xf>
    <xf numFmtId="4" fontId="16" fillId="4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3" fontId="15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16" fillId="7" borderId="1" xfId="0" applyFont="1" applyFill="1" applyBorder="1" applyAlignment="1">
      <alignment horizontal="left" vertical="center" wrapText="1"/>
    </xf>
    <xf numFmtId="3" fontId="1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A9D0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4"/>
  <sheetViews>
    <sheetView showGridLines="0" topLeftCell="A15" zoomScale="94" zoomScaleNormal="100" workbookViewId="0"/>
  </sheetViews>
  <sheetFormatPr defaultColWidth="8.7109375" defaultRowHeight="15" x14ac:dyDescent="0.25"/>
  <cols>
    <col min="1" max="1" width="3" customWidth="1"/>
    <col min="2" max="2" width="105" customWidth="1"/>
  </cols>
  <sheetData>
    <row r="2" spans="2:2" ht="19.5" customHeight="1" x14ac:dyDescent="0.3">
      <c r="B2" s="1" t="s">
        <v>34</v>
      </c>
    </row>
    <row r="3" spans="2:2" ht="15" customHeight="1" x14ac:dyDescent="0.25">
      <c r="B3" s="2" t="s">
        <v>35</v>
      </c>
    </row>
    <row r="6" spans="2:2" ht="15" customHeight="1" x14ac:dyDescent="0.25">
      <c r="B6" s="3" t="s">
        <v>36</v>
      </c>
    </row>
    <row r="7" spans="2:2" ht="30" customHeight="1" x14ac:dyDescent="0.25">
      <c r="B7" s="4" t="s">
        <v>37</v>
      </c>
    </row>
    <row r="9" spans="2:2" ht="15" customHeight="1" x14ac:dyDescent="0.25">
      <c r="B9" s="3" t="s">
        <v>38</v>
      </c>
    </row>
    <row r="10" spans="2:2" ht="30" customHeight="1" x14ac:dyDescent="0.25">
      <c r="B10" s="4" t="s">
        <v>39</v>
      </c>
    </row>
    <row r="11" spans="2:2" ht="45.75" customHeight="1" x14ac:dyDescent="0.25">
      <c r="B11" s="4" t="s">
        <v>40</v>
      </c>
    </row>
    <row r="12" spans="2:2" ht="30" customHeight="1" x14ac:dyDescent="0.25">
      <c r="B12" s="4" t="s">
        <v>41</v>
      </c>
    </row>
    <row r="13" spans="2:2" ht="30" customHeight="1" x14ac:dyDescent="0.25">
      <c r="B13" s="4" t="s">
        <v>42</v>
      </c>
    </row>
    <row r="14" spans="2:2" ht="30" customHeight="1" x14ac:dyDescent="0.25">
      <c r="B14" s="4" t="s">
        <v>43</v>
      </c>
    </row>
    <row r="16" spans="2:2" ht="15" customHeight="1" x14ac:dyDescent="0.25">
      <c r="B16" s="3" t="s">
        <v>44</v>
      </c>
    </row>
    <row r="17" spans="2:2" ht="30" customHeight="1" x14ac:dyDescent="0.25">
      <c r="B17" s="4" t="s">
        <v>45</v>
      </c>
    </row>
    <row r="18" spans="2:2" ht="30" customHeight="1" x14ac:dyDescent="0.25">
      <c r="B18" s="4" t="s">
        <v>46</v>
      </c>
    </row>
    <row r="20" spans="2:2" ht="15" customHeight="1" x14ac:dyDescent="0.25">
      <c r="B20" s="3" t="s">
        <v>47</v>
      </c>
    </row>
    <row r="21" spans="2:2" ht="68.25" customHeight="1" x14ac:dyDescent="0.25">
      <c r="B21" s="4" t="s">
        <v>48</v>
      </c>
    </row>
    <row r="23" spans="2:2" ht="15" customHeight="1" x14ac:dyDescent="0.25">
      <c r="B23" s="3" t="s">
        <v>49</v>
      </c>
    </row>
    <row r="24" spans="2:2" ht="61.5" customHeight="1" x14ac:dyDescent="0.25">
      <c r="B24" s="4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"/>
  <sheetViews>
    <sheetView showGridLines="0" topLeftCell="A2" zoomScale="76" zoomScaleNormal="80" workbookViewId="0">
      <selection activeCell="L15" sqref="L15"/>
    </sheetView>
  </sheetViews>
  <sheetFormatPr defaultColWidth="8.7109375" defaultRowHeight="15" x14ac:dyDescent="0.25"/>
  <cols>
    <col min="1" max="1" width="3" customWidth="1"/>
    <col min="2" max="2" width="40" customWidth="1"/>
    <col min="3" max="3" width="14" customWidth="1"/>
    <col min="4" max="4" width="12" customWidth="1"/>
    <col min="5" max="5" width="60" customWidth="1"/>
  </cols>
  <sheetData>
    <row r="2" spans="2:5" ht="19.5" customHeight="1" x14ac:dyDescent="0.3">
      <c r="B2" s="1" t="s">
        <v>0</v>
      </c>
    </row>
    <row r="3" spans="2:5" ht="15" customHeight="1" x14ac:dyDescent="0.25">
      <c r="B3" s="2" t="s">
        <v>1</v>
      </c>
    </row>
    <row r="4" spans="2:5" ht="15" customHeight="1" x14ac:dyDescent="0.25">
      <c r="B4" s="5" t="s">
        <v>2</v>
      </c>
      <c r="C4" s="6" t="s">
        <v>3</v>
      </c>
      <c r="D4" s="7" t="s">
        <v>4</v>
      </c>
      <c r="E4" s="8" t="s">
        <v>5</v>
      </c>
    </row>
    <row r="5" spans="2:5" ht="39" customHeight="1" x14ac:dyDescent="0.25">
      <c r="B5" s="9" t="s">
        <v>6</v>
      </c>
    </row>
    <row r="6" spans="2:5" ht="15" customHeight="1" x14ac:dyDescent="0.25">
      <c r="B6" s="10" t="s">
        <v>7</v>
      </c>
      <c r="C6" s="10" t="s">
        <v>8</v>
      </c>
      <c r="D6" s="10" t="s">
        <v>9</v>
      </c>
      <c r="E6" s="10" t="s">
        <v>10</v>
      </c>
    </row>
    <row r="7" spans="2:5" ht="15" customHeight="1" x14ac:dyDescent="0.25">
      <c r="B7" s="11" t="s">
        <v>11</v>
      </c>
      <c r="C7" s="12">
        <v>0.47</v>
      </c>
      <c r="D7" s="13" t="s">
        <v>12</v>
      </c>
      <c r="E7" s="14" t="s">
        <v>13</v>
      </c>
    </row>
    <row r="8" spans="2:5" ht="15" customHeight="1" x14ac:dyDescent="0.25">
      <c r="B8" s="11" t="s">
        <v>14</v>
      </c>
      <c r="C8" s="15">
        <f>44/12</f>
        <v>3.6666666666666665</v>
      </c>
      <c r="D8" s="13" t="s">
        <v>15</v>
      </c>
      <c r="E8" s="14" t="s">
        <v>16</v>
      </c>
    </row>
    <row r="10" spans="2:5" ht="59.25" customHeight="1" x14ac:dyDescent="0.25">
      <c r="B10" s="9" t="s">
        <v>17</v>
      </c>
    </row>
    <row r="11" spans="2:5" ht="15" customHeight="1" x14ac:dyDescent="0.25">
      <c r="B11" s="10" t="s">
        <v>7</v>
      </c>
      <c r="C11" s="10" t="s">
        <v>8</v>
      </c>
      <c r="D11" s="10" t="s">
        <v>9</v>
      </c>
      <c r="E11" s="10" t="s">
        <v>10</v>
      </c>
    </row>
    <row r="12" spans="2:5" ht="15" customHeight="1" x14ac:dyDescent="0.25">
      <c r="B12" s="11" t="s">
        <v>18</v>
      </c>
      <c r="C12" s="16">
        <v>0.24</v>
      </c>
      <c r="D12" s="13" t="s">
        <v>19</v>
      </c>
      <c r="E12" s="14" t="s">
        <v>20</v>
      </c>
    </row>
    <row r="13" spans="2:5" ht="15" customHeight="1" x14ac:dyDescent="0.25">
      <c r="B13" s="11" t="s">
        <v>21</v>
      </c>
      <c r="C13" s="16">
        <v>0.39</v>
      </c>
      <c r="D13" s="13" t="s">
        <v>19</v>
      </c>
      <c r="E13" s="14" t="s">
        <v>22</v>
      </c>
    </row>
    <row r="15" spans="2:5" ht="47.25" customHeight="1" x14ac:dyDescent="0.25">
      <c r="B15" s="9" t="s">
        <v>23</v>
      </c>
    </row>
    <row r="16" spans="2:5" ht="15" customHeight="1" x14ac:dyDescent="0.25">
      <c r="B16" s="10" t="s">
        <v>7</v>
      </c>
      <c r="C16" s="10" t="s">
        <v>8</v>
      </c>
      <c r="D16" s="10" t="s">
        <v>9</v>
      </c>
      <c r="E16" s="10" t="s">
        <v>10</v>
      </c>
    </row>
    <row r="17" spans="2:5" ht="15" customHeight="1" x14ac:dyDescent="0.25">
      <c r="B17" s="11" t="s">
        <v>24</v>
      </c>
      <c r="C17" s="17">
        <v>12</v>
      </c>
      <c r="D17" s="13" t="s">
        <v>25</v>
      </c>
      <c r="E17" s="14" t="s">
        <v>26</v>
      </c>
    </row>
    <row r="18" spans="2:5" ht="15" customHeight="1" x14ac:dyDescent="0.25">
      <c r="B18" s="11" t="s">
        <v>27</v>
      </c>
      <c r="C18" s="17">
        <v>6</v>
      </c>
      <c r="D18" s="13" t="s">
        <v>25</v>
      </c>
      <c r="E18" s="14" t="s">
        <v>26</v>
      </c>
    </row>
    <row r="19" spans="2:5" ht="15" customHeight="1" x14ac:dyDescent="0.25">
      <c r="B19" s="11" t="s">
        <v>28</v>
      </c>
      <c r="C19" s="17">
        <v>8</v>
      </c>
      <c r="D19" s="13" t="s">
        <v>25</v>
      </c>
      <c r="E19" s="14" t="s">
        <v>29</v>
      </c>
    </row>
    <row r="21" spans="2:5" ht="36" customHeight="1" x14ac:dyDescent="0.25">
      <c r="B21" s="9" t="s">
        <v>30</v>
      </c>
    </row>
    <row r="22" spans="2:5" ht="15" customHeight="1" x14ac:dyDescent="0.25">
      <c r="B22" s="10" t="s">
        <v>7</v>
      </c>
      <c r="C22" s="10" t="s">
        <v>8</v>
      </c>
      <c r="D22" s="10" t="s">
        <v>9</v>
      </c>
      <c r="E22" s="10" t="s">
        <v>10</v>
      </c>
    </row>
    <row r="23" spans="2:5" ht="15" customHeight="1" x14ac:dyDescent="0.25">
      <c r="B23" s="11" t="s">
        <v>31</v>
      </c>
      <c r="C23" s="16">
        <v>1.62</v>
      </c>
      <c r="D23" s="13" t="s">
        <v>32</v>
      </c>
      <c r="E23" s="14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showGridLines="0" topLeftCell="A2" zoomScale="70" zoomScaleNormal="70" workbookViewId="0"/>
  </sheetViews>
  <sheetFormatPr defaultColWidth="8.7109375" defaultRowHeight="15" x14ac:dyDescent="0.25"/>
  <cols>
    <col min="1" max="1" width="3" customWidth="1"/>
    <col min="2" max="2" width="39.5703125" customWidth="1"/>
    <col min="3" max="4" width="12" customWidth="1"/>
    <col min="5" max="5" width="11.5703125" customWidth="1"/>
    <col min="6" max="6" width="26.7109375" customWidth="1"/>
    <col min="7" max="8" width="16" customWidth="1"/>
  </cols>
  <sheetData>
    <row r="2" spans="2:8" ht="19.5" customHeight="1" x14ac:dyDescent="0.3">
      <c r="B2" s="1" t="s">
        <v>51</v>
      </c>
    </row>
    <row r="3" spans="2:8" ht="15" customHeight="1" x14ac:dyDescent="0.25">
      <c r="B3" s="2" t="s">
        <v>52</v>
      </c>
    </row>
    <row r="4" spans="2:8" ht="15" customHeight="1" x14ac:dyDescent="0.25">
      <c r="B4" s="5" t="s">
        <v>2</v>
      </c>
      <c r="C4" s="6" t="s">
        <v>3</v>
      </c>
      <c r="D4" s="7" t="s">
        <v>4</v>
      </c>
      <c r="E4" s="8" t="s">
        <v>5</v>
      </c>
    </row>
    <row r="5" spans="2:8" ht="72" customHeight="1" x14ac:dyDescent="0.25">
      <c r="B5" s="9" t="s">
        <v>53</v>
      </c>
    </row>
    <row r="6" spans="2:8" ht="51" customHeight="1" x14ac:dyDescent="0.25">
      <c r="B6" s="11" t="s">
        <v>54</v>
      </c>
      <c r="C6" s="12">
        <v>-2.1339999999999999</v>
      </c>
      <c r="D6" s="11" t="s">
        <v>55</v>
      </c>
      <c r="E6" s="12">
        <v>2.5299999999999998</v>
      </c>
      <c r="F6" s="18" t="s">
        <v>56</v>
      </c>
    </row>
    <row r="8" spans="2:8" ht="72" customHeight="1" x14ac:dyDescent="0.25">
      <c r="B8" s="9" t="s">
        <v>57</v>
      </c>
    </row>
    <row r="9" spans="2:8" ht="42" customHeight="1" x14ac:dyDescent="0.25">
      <c r="B9" s="10" t="s">
        <v>58</v>
      </c>
      <c r="C9" s="10" t="s">
        <v>59</v>
      </c>
      <c r="D9" s="10" t="s">
        <v>60</v>
      </c>
      <c r="E9" s="10" t="s">
        <v>61</v>
      </c>
      <c r="F9" s="10" t="s">
        <v>62</v>
      </c>
      <c r="G9" s="10" t="s">
        <v>63</v>
      </c>
      <c r="H9" s="10" t="s">
        <v>64</v>
      </c>
    </row>
    <row r="10" spans="2:8" ht="31.5" customHeight="1" x14ac:dyDescent="0.25">
      <c r="B10" s="19"/>
      <c r="C10" s="19" t="s">
        <v>65</v>
      </c>
      <c r="D10" s="19" t="s">
        <v>66</v>
      </c>
      <c r="E10" s="19" t="s">
        <v>19</v>
      </c>
      <c r="F10" s="19" t="s">
        <v>67</v>
      </c>
      <c r="G10" s="19" t="s">
        <v>68</v>
      </c>
      <c r="H10" s="19" t="s">
        <v>69</v>
      </c>
    </row>
    <row r="11" spans="2:8" ht="15" customHeight="1" x14ac:dyDescent="0.25">
      <c r="B11" s="20" t="s">
        <v>70</v>
      </c>
      <c r="C11" s="21">
        <v>10</v>
      </c>
      <c r="D11" s="22">
        <v>500</v>
      </c>
      <c r="E11" s="16">
        <f>'Reference Factors'!C12</f>
        <v>0.24</v>
      </c>
      <c r="F11" s="23">
        <f t="shared" ref="F11:F30" si="0">IF(C11="","",EXP($C$6+$E$6*LN(C11)))</f>
        <v>40.10657497256453</v>
      </c>
      <c r="G11" s="24">
        <f t="shared" ref="G11:G30" si="1">IF(C11="","",F11/1000*D11*(1+E11))</f>
        <v>24.86607648299001</v>
      </c>
      <c r="H11" s="24">
        <f>IF(G11="","",G11*'Reference Factors'!$C$7*'Reference Factors'!$C$8)</f>
        <v>42.852538472352776</v>
      </c>
    </row>
    <row r="12" spans="2:8" ht="15" customHeight="1" x14ac:dyDescent="0.25">
      <c r="B12" s="20"/>
      <c r="C12" s="21"/>
      <c r="D12" s="22"/>
      <c r="E12" s="16"/>
      <c r="F12" s="23" t="str">
        <f t="shared" si="0"/>
        <v/>
      </c>
      <c r="G12" s="24" t="str">
        <f t="shared" si="1"/>
        <v/>
      </c>
      <c r="H12" s="24" t="str">
        <f>IF(G12="","",G12*'Reference Factors'!$C$7*'Reference Factors'!$C$8)</f>
        <v/>
      </c>
    </row>
    <row r="13" spans="2:8" ht="15" customHeight="1" x14ac:dyDescent="0.25">
      <c r="B13" s="20"/>
      <c r="C13" s="21"/>
      <c r="D13" s="22"/>
      <c r="E13" s="16"/>
      <c r="F13" s="23" t="str">
        <f t="shared" si="0"/>
        <v/>
      </c>
      <c r="G13" s="24" t="str">
        <f t="shared" si="1"/>
        <v/>
      </c>
      <c r="H13" s="24" t="str">
        <f>IF(G13="","",G13*'Reference Factors'!$C$7*'Reference Factors'!$C$8)</f>
        <v/>
      </c>
    </row>
    <row r="14" spans="2:8" ht="12.75" customHeight="1" x14ac:dyDescent="0.25">
      <c r="B14" s="20"/>
      <c r="C14" s="21"/>
      <c r="D14" s="22"/>
      <c r="E14" s="16"/>
      <c r="F14" s="23" t="str">
        <f t="shared" si="0"/>
        <v/>
      </c>
      <c r="G14" s="24" t="str">
        <f t="shared" si="1"/>
        <v/>
      </c>
      <c r="H14" s="24" t="str">
        <f>IF(G14="","",G14*'Reference Factors'!$C$7*'Reference Factors'!$C$8)</f>
        <v/>
      </c>
    </row>
    <row r="15" spans="2:8" ht="15" hidden="1" customHeight="1" x14ac:dyDescent="0.25">
      <c r="B15" s="20"/>
      <c r="C15" s="21"/>
      <c r="D15" s="22"/>
      <c r="E15" s="16"/>
      <c r="F15" s="23" t="str">
        <f t="shared" si="0"/>
        <v/>
      </c>
      <c r="G15" s="24" t="str">
        <f t="shared" si="1"/>
        <v/>
      </c>
      <c r="H15" s="24" t="str">
        <f>IF(G15="","",G15*'Reference Factors'!$C$7*'Reference Factors'!$C$8)</f>
        <v/>
      </c>
    </row>
    <row r="16" spans="2:8" ht="15" hidden="1" customHeight="1" x14ac:dyDescent="0.25">
      <c r="B16" s="20"/>
      <c r="C16" s="21"/>
      <c r="D16" s="22"/>
      <c r="E16" s="16"/>
      <c r="F16" s="23" t="str">
        <f t="shared" si="0"/>
        <v/>
      </c>
      <c r="G16" s="24" t="str">
        <f t="shared" si="1"/>
        <v/>
      </c>
      <c r="H16" s="24" t="str">
        <f>IF(G16="","",G16*'Reference Factors'!$C$7*'Reference Factors'!$C$8)</f>
        <v/>
      </c>
    </row>
    <row r="17" spans="2:8" ht="15" hidden="1" customHeight="1" x14ac:dyDescent="0.25">
      <c r="B17" s="20"/>
      <c r="C17" s="21"/>
      <c r="D17" s="22"/>
      <c r="E17" s="16"/>
      <c r="F17" s="23" t="str">
        <f t="shared" si="0"/>
        <v/>
      </c>
      <c r="G17" s="24" t="str">
        <f t="shared" si="1"/>
        <v/>
      </c>
      <c r="H17" s="24" t="str">
        <f>IF(G17="","",G17*'Reference Factors'!$C$7*'Reference Factors'!$C$8)</f>
        <v/>
      </c>
    </row>
    <row r="18" spans="2:8" ht="15" hidden="1" customHeight="1" x14ac:dyDescent="0.25">
      <c r="B18" s="20"/>
      <c r="C18" s="21"/>
      <c r="D18" s="22"/>
      <c r="E18" s="16"/>
      <c r="F18" s="23" t="str">
        <f t="shared" si="0"/>
        <v/>
      </c>
      <c r="G18" s="24" t="str">
        <f t="shared" si="1"/>
        <v/>
      </c>
      <c r="H18" s="24" t="str">
        <f>IF(G18="","",G18*'Reference Factors'!$C$7*'Reference Factors'!$C$8)</f>
        <v/>
      </c>
    </row>
    <row r="19" spans="2:8" ht="15" hidden="1" customHeight="1" x14ac:dyDescent="0.25">
      <c r="B19" s="20"/>
      <c r="C19" s="21"/>
      <c r="D19" s="22"/>
      <c r="E19" s="16"/>
      <c r="F19" s="23" t="str">
        <f t="shared" si="0"/>
        <v/>
      </c>
      <c r="G19" s="24" t="str">
        <f t="shared" si="1"/>
        <v/>
      </c>
      <c r="H19" s="24" t="str">
        <f>IF(G19="","",G19*'Reference Factors'!$C$7*'Reference Factors'!$C$8)</f>
        <v/>
      </c>
    </row>
    <row r="20" spans="2:8" ht="1.5" hidden="1" customHeight="1" x14ac:dyDescent="0.25">
      <c r="B20" s="20"/>
      <c r="C20" s="21"/>
      <c r="D20" s="22"/>
      <c r="E20" s="16"/>
      <c r="F20" s="23" t="str">
        <f t="shared" si="0"/>
        <v/>
      </c>
      <c r="G20" s="24" t="str">
        <f t="shared" si="1"/>
        <v/>
      </c>
      <c r="H20" s="24" t="str">
        <f>IF(G20="","",G20*'Reference Factors'!$C$7*'Reference Factors'!$C$8)</f>
        <v/>
      </c>
    </row>
    <row r="21" spans="2:8" ht="15" hidden="1" customHeight="1" x14ac:dyDescent="0.25">
      <c r="B21" s="20"/>
      <c r="C21" s="21"/>
      <c r="D21" s="22"/>
      <c r="E21" s="16"/>
      <c r="F21" s="23" t="str">
        <f t="shared" si="0"/>
        <v/>
      </c>
      <c r="G21" s="24" t="str">
        <f t="shared" si="1"/>
        <v/>
      </c>
      <c r="H21" s="24" t="str">
        <f>IF(G21="","",G21*'Reference Factors'!$C$7*'Reference Factors'!$C$8)</f>
        <v/>
      </c>
    </row>
    <row r="22" spans="2:8" ht="15" hidden="1" customHeight="1" x14ac:dyDescent="0.25">
      <c r="B22" s="20"/>
      <c r="C22" s="21"/>
      <c r="D22" s="22"/>
      <c r="E22" s="16"/>
      <c r="F22" s="23" t="str">
        <f t="shared" si="0"/>
        <v/>
      </c>
      <c r="G22" s="24" t="str">
        <f t="shared" si="1"/>
        <v/>
      </c>
      <c r="H22" s="24" t="str">
        <f>IF(G22="","",G22*'Reference Factors'!$C$7*'Reference Factors'!$C$8)</f>
        <v/>
      </c>
    </row>
    <row r="23" spans="2:8" ht="15" hidden="1" customHeight="1" x14ac:dyDescent="0.25">
      <c r="B23" s="20"/>
      <c r="C23" s="21"/>
      <c r="D23" s="22"/>
      <c r="E23" s="16"/>
      <c r="F23" s="23" t="str">
        <f t="shared" si="0"/>
        <v/>
      </c>
      <c r="G23" s="24" t="str">
        <f t="shared" si="1"/>
        <v/>
      </c>
      <c r="H23" s="24" t="str">
        <f>IF(G23="","",G23*'Reference Factors'!$C$7*'Reference Factors'!$C$8)</f>
        <v/>
      </c>
    </row>
    <row r="24" spans="2:8" ht="15" hidden="1" customHeight="1" x14ac:dyDescent="0.25">
      <c r="B24" s="20"/>
      <c r="C24" s="21"/>
      <c r="D24" s="22"/>
      <c r="E24" s="16"/>
      <c r="F24" s="23" t="str">
        <f t="shared" si="0"/>
        <v/>
      </c>
      <c r="G24" s="24" t="str">
        <f t="shared" si="1"/>
        <v/>
      </c>
      <c r="H24" s="24" t="str">
        <f>IF(G24="","",G24*'Reference Factors'!$C$7*'Reference Factors'!$C$8)</f>
        <v/>
      </c>
    </row>
    <row r="25" spans="2:8" ht="15" hidden="1" customHeight="1" x14ac:dyDescent="0.25">
      <c r="B25" s="20"/>
      <c r="C25" s="21"/>
      <c r="D25" s="22"/>
      <c r="E25" s="16"/>
      <c r="F25" s="23" t="str">
        <f t="shared" si="0"/>
        <v/>
      </c>
      <c r="G25" s="24" t="str">
        <f t="shared" si="1"/>
        <v/>
      </c>
      <c r="H25" s="24" t="str">
        <f>IF(G25="","",G25*'Reference Factors'!$C$7*'Reference Factors'!$C$8)</f>
        <v/>
      </c>
    </row>
    <row r="26" spans="2:8" ht="15" hidden="1" customHeight="1" x14ac:dyDescent="0.25">
      <c r="B26" s="20"/>
      <c r="C26" s="21"/>
      <c r="D26" s="22"/>
      <c r="E26" s="16"/>
      <c r="F26" s="23" t="str">
        <f t="shared" si="0"/>
        <v/>
      </c>
      <c r="G26" s="24" t="str">
        <f t="shared" si="1"/>
        <v/>
      </c>
      <c r="H26" s="24" t="str">
        <f>IF(G26="","",G26*'Reference Factors'!$C$7*'Reference Factors'!$C$8)</f>
        <v/>
      </c>
    </row>
    <row r="27" spans="2:8" ht="15" hidden="1" customHeight="1" x14ac:dyDescent="0.25">
      <c r="B27" s="20"/>
      <c r="C27" s="21"/>
      <c r="D27" s="22"/>
      <c r="E27" s="16"/>
      <c r="F27" s="23" t="str">
        <f t="shared" si="0"/>
        <v/>
      </c>
      <c r="G27" s="24" t="str">
        <f t="shared" si="1"/>
        <v/>
      </c>
      <c r="H27" s="24" t="str">
        <f>IF(G27="","",G27*'Reference Factors'!$C$7*'Reference Factors'!$C$8)</f>
        <v/>
      </c>
    </row>
    <row r="28" spans="2:8" ht="15" hidden="1" customHeight="1" x14ac:dyDescent="0.25">
      <c r="B28" s="20"/>
      <c r="C28" s="21"/>
      <c r="D28" s="22"/>
      <c r="E28" s="16"/>
      <c r="F28" s="23" t="str">
        <f t="shared" si="0"/>
        <v/>
      </c>
      <c r="G28" s="24" t="str">
        <f t="shared" si="1"/>
        <v/>
      </c>
      <c r="H28" s="24" t="str">
        <f>IF(G28="","",G28*'Reference Factors'!$C$7*'Reference Factors'!$C$8)</f>
        <v/>
      </c>
    </row>
    <row r="29" spans="2:8" ht="15" hidden="1" customHeight="1" x14ac:dyDescent="0.25">
      <c r="B29" s="20"/>
      <c r="C29" s="21"/>
      <c r="D29" s="22"/>
      <c r="E29" s="16"/>
      <c r="F29" s="23" t="str">
        <f t="shared" si="0"/>
        <v/>
      </c>
      <c r="G29" s="24" t="str">
        <f t="shared" si="1"/>
        <v/>
      </c>
      <c r="H29" s="24" t="str">
        <f>IF(G29="","",G29*'Reference Factors'!$C$7*'Reference Factors'!$C$8)</f>
        <v/>
      </c>
    </row>
    <row r="30" spans="2:8" ht="15" customHeight="1" x14ac:dyDescent="0.25">
      <c r="B30" s="20"/>
      <c r="C30" s="21"/>
      <c r="D30" s="22"/>
      <c r="E30" s="16"/>
      <c r="F30" s="23" t="str">
        <f t="shared" si="0"/>
        <v/>
      </c>
      <c r="G30" s="24" t="str">
        <f t="shared" si="1"/>
        <v/>
      </c>
      <c r="H30" s="24" t="str">
        <f>IF(G30="","",G30*'Reference Factors'!$C$7*'Reference Factors'!$C$8)</f>
        <v/>
      </c>
    </row>
    <row r="31" spans="2:8" ht="15" customHeight="1" x14ac:dyDescent="0.25">
      <c r="B31" s="25" t="s">
        <v>71</v>
      </c>
      <c r="C31" s="26"/>
      <c r="D31" s="27">
        <f>SUM(D11:D30)</f>
        <v>500</v>
      </c>
      <c r="E31" s="26"/>
      <c r="F31" s="26"/>
      <c r="G31" s="28">
        <f>SUM(G11:G30)</f>
        <v>24.86607648299001</v>
      </c>
      <c r="H31" s="28">
        <f>SUM(H11:H30)</f>
        <v>42.852538472352776</v>
      </c>
    </row>
    <row r="32" spans="2:8" ht="7.5" customHeight="1" x14ac:dyDescent="0.25"/>
    <row r="33" spans="2:2" ht="76.5" customHeight="1" x14ac:dyDescent="0.25">
      <c r="B33" s="18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showGridLines="0" topLeftCell="A2" zoomScale="90" zoomScaleNormal="90" workbookViewId="0">
      <selection activeCell="M10" sqref="M10"/>
    </sheetView>
  </sheetViews>
  <sheetFormatPr defaultColWidth="8.7109375" defaultRowHeight="15" x14ac:dyDescent="0.25"/>
  <cols>
    <col min="1" max="1" width="3" customWidth="1"/>
    <col min="2" max="2" width="75.140625" customWidth="1"/>
    <col min="3" max="3" width="20" customWidth="1"/>
    <col min="4" max="4" width="22.140625" customWidth="1"/>
    <col min="5" max="5" width="17.140625" customWidth="1"/>
  </cols>
  <sheetData>
    <row r="2" spans="2:5" ht="18" customHeight="1" x14ac:dyDescent="0.3">
      <c r="B2" s="29" t="s">
        <v>73</v>
      </c>
    </row>
    <row r="3" spans="2:5" ht="15" customHeight="1" x14ac:dyDescent="0.25">
      <c r="B3" s="30" t="s">
        <v>74</v>
      </c>
    </row>
    <row r="4" spans="2:5" ht="15" customHeight="1" x14ac:dyDescent="0.25">
      <c r="B4" s="5" t="s">
        <v>2</v>
      </c>
      <c r="C4" s="6" t="s">
        <v>3</v>
      </c>
      <c r="D4" s="7" t="s">
        <v>4</v>
      </c>
      <c r="E4" s="8" t="s">
        <v>5</v>
      </c>
    </row>
    <row r="5" spans="2:5" ht="15.75" customHeight="1" x14ac:dyDescent="0.25">
      <c r="B5" s="31" t="s">
        <v>75</v>
      </c>
    </row>
    <row r="6" spans="2:5" ht="27" customHeight="1" x14ac:dyDescent="0.25">
      <c r="B6" s="32" t="s">
        <v>76</v>
      </c>
      <c r="C6" s="33" t="s">
        <v>77</v>
      </c>
    </row>
    <row r="7" spans="2:5" ht="19.5" customHeight="1" x14ac:dyDescent="0.25">
      <c r="B7" s="32" t="s">
        <v>78</v>
      </c>
      <c r="C7" s="21">
        <v>50</v>
      </c>
      <c r="D7" s="34" t="s">
        <v>79</v>
      </c>
    </row>
    <row r="8" spans="2:5" ht="21.75" customHeight="1" x14ac:dyDescent="0.25">
      <c r="B8" s="32" t="s">
        <v>80</v>
      </c>
      <c r="C8" s="17">
        <v>150</v>
      </c>
      <c r="D8" s="34" t="s">
        <v>81</v>
      </c>
    </row>
    <row r="9" spans="2:5" ht="17.25" customHeight="1" x14ac:dyDescent="0.25">
      <c r="B9" s="32" t="s">
        <v>82</v>
      </c>
      <c r="C9" s="16">
        <f>'Reference Factors'!$C$13</f>
        <v>0.39</v>
      </c>
      <c r="D9" s="34" t="s">
        <v>19</v>
      </c>
    </row>
    <row r="10" spans="2:5" ht="21" customHeight="1" x14ac:dyDescent="0.25">
      <c r="B10" s="32" t="s">
        <v>83</v>
      </c>
      <c r="C10" s="12">
        <f>'Reference Factors'!$C$7</f>
        <v>0.47</v>
      </c>
      <c r="D10" s="34" t="s">
        <v>84</v>
      </c>
    </row>
    <row r="11" spans="2:5" ht="18.75" customHeight="1" x14ac:dyDescent="0.25">
      <c r="B11" s="32" t="s">
        <v>85</v>
      </c>
      <c r="C11" s="35">
        <v>386</v>
      </c>
      <c r="D11" s="34" t="s">
        <v>86</v>
      </c>
    </row>
    <row r="12" spans="2:5" ht="3.75" customHeight="1" x14ac:dyDescent="0.25"/>
    <row r="13" spans="2:5" ht="19.5" customHeight="1" x14ac:dyDescent="0.25">
      <c r="B13" s="31" t="s">
        <v>87</v>
      </c>
    </row>
    <row r="14" spans="2:5" ht="21" customHeight="1" x14ac:dyDescent="0.25">
      <c r="B14" s="32" t="s">
        <v>88</v>
      </c>
      <c r="C14" s="36">
        <f>C7*C8*(1+C9)*C10</f>
        <v>4899.7500000000009</v>
      </c>
      <c r="D14" s="34" t="s">
        <v>89</v>
      </c>
    </row>
    <row r="15" spans="2:5" ht="18" customHeight="1" x14ac:dyDescent="0.25">
      <c r="B15" s="32" t="s">
        <v>90</v>
      </c>
      <c r="C15" s="36">
        <f>C7*C11</f>
        <v>19300</v>
      </c>
      <c r="D15" s="34" t="s">
        <v>89</v>
      </c>
    </row>
    <row r="16" spans="2:5" ht="18" customHeight="1" x14ac:dyDescent="0.25">
      <c r="B16" s="32" t="s">
        <v>91</v>
      </c>
      <c r="C16" s="36">
        <f>C14+C15</f>
        <v>24199.75</v>
      </c>
      <c r="D16" s="34" t="s">
        <v>89</v>
      </c>
    </row>
    <row r="17" spans="2:4" ht="18.75" customHeight="1" x14ac:dyDescent="0.25">
      <c r="B17" s="32" t="s">
        <v>92</v>
      </c>
      <c r="C17" s="37">
        <f>C16*'Reference Factors'!$C$8</f>
        <v>88732.416666666657</v>
      </c>
      <c r="D17" s="34" t="s">
        <v>69</v>
      </c>
    </row>
    <row r="18" spans="2:4" ht="18" customHeight="1" x14ac:dyDescent="0.25">
      <c r="B18" s="32" t="s">
        <v>93</v>
      </c>
      <c r="C18" s="36">
        <f>C17/C7</f>
        <v>1774.6483333333331</v>
      </c>
      <c r="D18" s="34" t="s">
        <v>94</v>
      </c>
    </row>
    <row r="19" spans="2:4" ht="1.5" customHeight="1" x14ac:dyDescent="0.25"/>
    <row r="20" spans="2:4" ht="36.75" customHeight="1" x14ac:dyDescent="0.25">
      <c r="B20" s="34" t="s">
        <v>95</v>
      </c>
    </row>
    <row r="21" spans="2:4" ht="38.25" customHeight="1" x14ac:dyDescent="0.25">
      <c r="B21" s="34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"/>
  <sheetViews>
    <sheetView showGridLines="0" tabSelected="1" topLeftCell="A10" zoomScale="90" zoomScaleNormal="90" workbookViewId="0"/>
  </sheetViews>
  <sheetFormatPr defaultColWidth="8.7109375" defaultRowHeight="15" x14ac:dyDescent="0.25"/>
  <cols>
    <col min="1" max="1" width="3" customWidth="1"/>
    <col min="2" max="2" width="66" customWidth="1"/>
    <col min="3" max="3" width="15" customWidth="1"/>
    <col min="4" max="4" width="18.140625" customWidth="1"/>
    <col min="5" max="5" width="24.28515625" customWidth="1"/>
    <col min="6" max="6" width="24.140625" customWidth="1"/>
    <col min="7" max="7" width="12" customWidth="1"/>
    <col min="8" max="8" width="15" customWidth="1"/>
  </cols>
  <sheetData>
    <row r="2" spans="2:6" ht="19.5" customHeight="1" x14ac:dyDescent="0.3">
      <c r="B2" s="29" t="s">
        <v>97</v>
      </c>
    </row>
    <row r="3" spans="2:6" ht="15" customHeight="1" x14ac:dyDescent="0.25">
      <c r="B3" s="30" t="s">
        <v>98</v>
      </c>
    </row>
    <row r="4" spans="2:6" ht="15" customHeight="1" x14ac:dyDescent="0.25">
      <c r="B4" s="5" t="s">
        <v>2</v>
      </c>
      <c r="C4" s="6" t="s">
        <v>3</v>
      </c>
      <c r="D4" s="7" t="s">
        <v>4</v>
      </c>
      <c r="E4" s="8" t="s">
        <v>5</v>
      </c>
    </row>
    <row r="5" spans="2:6" ht="53.25" customHeight="1" x14ac:dyDescent="0.25">
      <c r="B5" s="31" t="s">
        <v>99</v>
      </c>
    </row>
    <row r="6" spans="2:6" ht="43.5" customHeight="1" x14ac:dyDescent="0.25">
      <c r="B6" s="32" t="s">
        <v>100</v>
      </c>
      <c r="C6" s="12">
        <v>-2.1339999999999999</v>
      </c>
      <c r="D6" s="32" t="s">
        <v>101</v>
      </c>
      <c r="E6" s="12">
        <v>2.5299999999999998</v>
      </c>
      <c r="F6" s="34" t="s">
        <v>102</v>
      </c>
    </row>
    <row r="7" spans="2:6" ht="22.5" customHeight="1" x14ac:dyDescent="0.25">
      <c r="B7" s="32" t="s">
        <v>103</v>
      </c>
      <c r="C7" s="16">
        <f>'Reference Factors'!C12</f>
        <v>0.24</v>
      </c>
      <c r="D7" s="32" t="s">
        <v>104</v>
      </c>
      <c r="E7" s="12">
        <f>'Reference Factors'!$C$7</f>
        <v>0.47</v>
      </c>
    </row>
    <row r="9" spans="2:6" ht="96.75" customHeight="1" x14ac:dyDescent="0.25">
      <c r="B9" s="31" t="s">
        <v>105</v>
      </c>
    </row>
    <row r="10" spans="2:6" ht="30" customHeight="1" x14ac:dyDescent="0.25">
      <c r="B10" s="38" t="s">
        <v>106</v>
      </c>
      <c r="C10" s="38" t="s">
        <v>107</v>
      </c>
      <c r="D10" s="38" t="s">
        <v>108</v>
      </c>
      <c r="E10" s="38" t="s">
        <v>109</v>
      </c>
    </row>
    <row r="11" spans="2:6" ht="23.25" customHeight="1" x14ac:dyDescent="0.25">
      <c r="B11" s="39" t="s">
        <v>110</v>
      </c>
      <c r="C11" s="40" t="s">
        <v>111</v>
      </c>
      <c r="D11" s="40" t="s">
        <v>112</v>
      </c>
      <c r="E11" s="32" t="s">
        <v>113</v>
      </c>
    </row>
    <row r="12" spans="2:6" ht="23.25" customHeight="1" x14ac:dyDescent="0.25">
      <c r="B12" s="39" t="s">
        <v>114</v>
      </c>
      <c r="C12" s="40" t="s">
        <v>115</v>
      </c>
      <c r="D12" s="40" t="s">
        <v>116</v>
      </c>
      <c r="E12" s="32" t="s">
        <v>117</v>
      </c>
    </row>
    <row r="13" spans="2:6" ht="43.5" customHeight="1" x14ac:dyDescent="0.25">
      <c r="B13" s="39" t="s">
        <v>118</v>
      </c>
      <c r="C13" s="40" t="s">
        <v>119</v>
      </c>
      <c r="D13" s="40" t="s">
        <v>120</v>
      </c>
      <c r="E13" s="32" t="s">
        <v>121</v>
      </c>
    </row>
    <row r="14" spans="2:6" ht="73.5" customHeight="1" x14ac:dyDescent="0.25">
      <c r="B14" s="34" t="s">
        <v>122</v>
      </c>
    </row>
    <row r="16" spans="2:6" ht="80.25" customHeight="1" x14ac:dyDescent="0.25">
      <c r="B16" s="31" t="s">
        <v>123</v>
      </c>
    </row>
    <row r="17" spans="2:8" ht="27.75" customHeight="1" x14ac:dyDescent="0.25">
      <c r="B17" s="38" t="s">
        <v>106</v>
      </c>
      <c r="C17" s="38" t="s">
        <v>124</v>
      </c>
      <c r="D17" s="38" t="s">
        <v>125</v>
      </c>
      <c r="E17" s="38" t="s">
        <v>126</v>
      </c>
      <c r="F17" s="38" t="s">
        <v>127</v>
      </c>
      <c r="G17" s="38" t="s">
        <v>60</v>
      </c>
      <c r="H17" s="38" t="s">
        <v>128</v>
      </c>
    </row>
    <row r="18" spans="2:8" ht="20.25" customHeight="1" x14ac:dyDescent="0.25">
      <c r="B18" s="39" t="s">
        <v>110</v>
      </c>
      <c r="C18" s="17">
        <v>10</v>
      </c>
      <c r="D18" s="16">
        <v>1</v>
      </c>
      <c r="E18" s="41">
        <f>EXP($C$6+$E$6*LN(C18))*D18</f>
        <v>40.10657497256453</v>
      </c>
      <c r="F18" s="42">
        <f>E18/1000*(1+$C$7)*$E$7*'Reference Factors'!$C$8</f>
        <v>8.5705076944705541E-2</v>
      </c>
      <c r="G18" s="22">
        <v>300</v>
      </c>
      <c r="H18" s="43">
        <f>F18*G18</f>
        <v>25.711523083411663</v>
      </c>
    </row>
    <row r="19" spans="2:8" ht="17.25" customHeight="1" x14ac:dyDescent="0.25">
      <c r="B19" s="39" t="s">
        <v>114</v>
      </c>
      <c r="C19" s="17">
        <v>25</v>
      </c>
      <c r="D19" s="16">
        <v>1</v>
      </c>
      <c r="E19" s="41">
        <f>EXP($C$6+$E$6*LN(C19))*D19</f>
        <v>407.38384003516279</v>
      </c>
      <c r="F19" s="42">
        <f>E19/1000*(1+$C$7)*$E$7*'Reference Factors'!$C$8</f>
        <v>0.87055210723247378</v>
      </c>
      <c r="G19" s="22">
        <v>120</v>
      </c>
      <c r="H19" s="43">
        <f>F19*G19</f>
        <v>104.46625286789686</v>
      </c>
    </row>
    <row r="20" spans="2:8" ht="16.5" customHeight="1" x14ac:dyDescent="0.25">
      <c r="B20" s="39" t="s">
        <v>118</v>
      </c>
      <c r="C20" s="17">
        <v>45</v>
      </c>
      <c r="D20" s="16">
        <v>1</v>
      </c>
      <c r="E20" s="41">
        <f>EXP($C$6+$E$6*LN(C20))*D20</f>
        <v>1802.3670344070451</v>
      </c>
      <c r="F20" s="42">
        <f>E20/1000*(1+$C$7)*$E$7*'Reference Factors'!$C$8</f>
        <v>3.8515381947255611</v>
      </c>
      <c r="G20" s="22">
        <v>30</v>
      </c>
      <c r="H20" s="43">
        <f>F20*G20</f>
        <v>115.54614584176683</v>
      </c>
    </row>
    <row r="21" spans="2:8" ht="19.5" customHeight="1" x14ac:dyDescent="0.25">
      <c r="B21" s="44" t="s">
        <v>71</v>
      </c>
      <c r="C21" s="26"/>
      <c r="D21" s="26"/>
      <c r="E21" s="26"/>
      <c r="F21" s="45"/>
      <c r="G21" s="46">
        <f>SUM(G18:G20)</f>
        <v>450</v>
      </c>
      <c r="H21" s="47">
        <f>SUM(H18:H20)</f>
        <v>245.72392179307536</v>
      </c>
    </row>
    <row r="22" spans="2:8" ht="3" customHeight="1" x14ac:dyDescent="0.25"/>
    <row r="23" spans="2:8" ht="51" customHeight="1" x14ac:dyDescent="0.25">
      <c r="B23" s="34" t="s">
        <v>129</v>
      </c>
    </row>
    <row r="24" spans="2:8" ht="66.75" customHeight="1" x14ac:dyDescent="0.25">
      <c r="B24" s="34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48" customWidth="1"/>
    <col min="3" max="3" width="32.7109375" customWidth="1"/>
    <col min="4" max="4" width="22" customWidth="1"/>
  </cols>
  <sheetData>
    <row r="2" spans="2:4" ht="19.5" customHeight="1" x14ac:dyDescent="0.3">
      <c r="B2" s="1" t="s">
        <v>131</v>
      </c>
    </row>
    <row r="3" spans="2:4" ht="48.75" customHeight="1" x14ac:dyDescent="0.25">
      <c r="B3" s="34" t="s">
        <v>132</v>
      </c>
    </row>
    <row r="4" spans="2:4" ht="5.25" customHeight="1" x14ac:dyDescent="0.25"/>
    <row r="5" spans="2:4" ht="21" customHeight="1" x14ac:dyDescent="0.25">
      <c r="B5" s="38" t="s">
        <v>133</v>
      </c>
      <c r="C5" s="38" t="s">
        <v>134</v>
      </c>
      <c r="D5" s="48"/>
    </row>
    <row r="6" spans="2:4" ht="28.5" customHeight="1" x14ac:dyDescent="0.25">
      <c r="B6" s="32" t="s">
        <v>135</v>
      </c>
      <c r="C6" s="49">
        <f>'Trees - By Category'!H21</f>
        <v>245.72392179307536</v>
      </c>
      <c r="D6" s="50"/>
    </row>
    <row r="7" spans="2:4" ht="15" customHeight="1" x14ac:dyDescent="0.25">
      <c r="B7" s="32" t="s">
        <v>136</v>
      </c>
      <c r="C7" s="49">
        <f>'Mangroves - Blue Carbon'!C17</f>
        <v>88732.416666666657</v>
      </c>
      <c r="D7" s="51"/>
    </row>
    <row r="8" spans="2:4" ht="21" customHeight="1" x14ac:dyDescent="0.25">
      <c r="B8" s="52" t="s">
        <v>137</v>
      </c>
      <c r="C8" s="37">
        <f>C6+C7</f>
        <v>88978.140588459733</v>
      </c>
      <c r="D8" s="50"/>
    </row>
    <row r="9" spans="2:4" ht="15" customHeight="1" x14ac:dyDescent="0.25">
      <c r="B9" s="4"/>
      <c r="C9" s="51"/>
      <c r="D9" s="53"/>
    </row>
    <row r="10" spans="2:4" ht="27" customHeight="1" x14ac:dyDescent="0.25">
      <c r="B10" s="34" t="s">
        <v>138</v>
      </c>
      <c r="C10" s="54"/>
    </row>
    <row r="11" spans="2:4" ht="23.25" customHeight="1" x14ac:dyDescent="0.25">
      <c r="B11" s="32" t="s">
        <v>139</v>
      </c>
      <c r="C11" s="49">
        <f>'Trees - Tree Count'!H31</f>
        <v>42.852538472352776</v>
      </c>
    </row>
    <row r="12" spans="2:4" ht="18.75" customHeight="1" x14ac:dyDescent="0.25">
      <c r="B12" s="18"/>
    </row>
    <row r="13" spans="2:4" ht="54.75" customHeight="1" x14ac:dyDescent="0.25">
      <c r="B13" s="34" t="s">
        <v>140</v>
      </c>
    </row>
    <row r="14" spans="2:4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Reference Factors</vt:lpstr>
      <vt:lpstr>Trees - Tree Count</vt:lpstr>
      <vt:lpstr>Mangroves - Blue Carbon</vt:lpstr>
      <vt:lpstr>Trees - By Category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2026-08-06T13:19:11Z</dcterms:created>
  <dcterms:modified xsi:type="dcterms:W3CDTF">2026-08-12T06:29:34Z</dcterms:modified>
  <dc:language>en-US</dc:language>
</cp:coreProperties>
</file>