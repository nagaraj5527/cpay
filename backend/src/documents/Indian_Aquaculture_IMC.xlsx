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xr:revisionPtr revIDLastSave="0" documentId="8_{3072A250-A251-AC43-8925-81EA929C1765}" xr6:coauthVersionLast="47" xr6:coauthVersionMax="47" xr10:uidLastSave="{00000000-0000-0000-0000-000000000000}"/>
  <bookViews>
    <workbookView xWindow="0" yWindow="0" windowWidth="16384" windowHeight="8192" tabRatio="500" xr2:uid="{00000000-000D-0000-FFFF-FFFF00000000}"/>
  </bookViews>
  <sheets>
    <sheet name="Instructions" sheetId="1" r:id="rId1"/>
    <sheet name="Change Log" sheetId="2" r:id="rId2"/>
    <sheet name="Dashboard" sheetId="3" r:id="rId3"/>
    <sheet name="Species Database" sheetId="4" r:id="rId4"/>
    <sheet name="Feed Database" sheetId="5" r:id="rId5"/>
    <sheet name="Growth &amp; Feed Model" sheetId="6" r:id="rId6"/>
    <sheet name="Harvest Schedule" sheetId="7" r:id="rId7"/>
    <sheet name="Feed Emission Model" sheetId="8" r:id="rId8"/>
    <sheet name="Pond Emission Model" sheetId="9" r:id="rId9"/>
    <sheet name="Energy Module" sheetId="10" r:id="rId10"/>
    <sheet name="Economics Module" sheetId="11" r:id="rId11"/>
    <sheet name="Improved Farming Scenario" sheetId="12" r:id="rId12"/>
    <sheet name="Carbon Accounting" sheetId="13" r:id="rId13"/>
    <sheet name="Carbon Reduction Summary" sheetId="14" r:id="rId14"/>
    <sheet name="Sensitivity Analysis" sheetId="15" r:id="rId15"/>
    <sheet name="Report" sheetId="16" r:id="rId16"/>
    <sheet name="Scientific References" sheetId="17" r:id="rId17"/>
  </sheets>
  <calcPr calcId="191028"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8" i="3" l="1"/>
  <c r="B8" i="6"/>
  <c r="B20" i="3"/>
  <c r="B9" i="6"/>
  <c r="B21" i="3"/>
  <c r="B10" i="6"/>
  <c r="B13" i="6"/>
  <c r="B17" i="6"/>
  <c r="C17" i="6"/>
  <c r="B17" i="3"/>
  <c r="B5" i="6"/>
  <c r="B6" i="6"/>
  <c r="B7" i="6"/>
  <c r="B22" i="3"/>
  <c r="B11" i="6"/>
  <c r="D17" i="6"/>
  <c r="E17" i="6"/>
  <c r="B24" i="3"/>
  <c r="B30" i="3"/>
  <c r="B12" i="6"/>
  <c r="F17" i="6"/>
  <c r="G17" i="6"/>
  <c r="B18" i="6"/>
  <c r="C18" i="6"/>
  <c r="D18" i="6"/>
  <c r="E18" i="6"/>
  <c r="F18" i="6"/>
  <c r="G18" i="6"/>
  <c r="B19" i="6"/>
  <c r="C19" i="6"/>
  <c r="D19" i="6"/>
  <c r="E19" i="6"/>
  <c r="F19" i="6"/>
  <c r="G19" i="6"/>
  <c r="B20" i="6"/>
  <c r="C20" i="6"/>
  <c r="D20" i="6"/>
  <c r="E20" i="6"/>
  <c r="F20" i="6"/>
  <c r="G20" i="6"/>
  <c r="B21" i="6"/>
  <c r="C21" i="6"/>
  <c r="D21" i="6"/>
  <c r="E21" i="6"/>
  <c r="F21" i="6"/>
  <c r="G21" i="6"/>
  <c r="B22" i="6"/>
  <c r="C22" i="6"/>
  <c r="D22" i="6"/>
  <c r="E22" i="6"/>
  <c r="F22" i="6"/>
  <c r="G22" i="6"/>
  <c r="B25" i="6"/>
  <c r="B5" i="8"/>
  <c r="G11" i="5"/>
  <c r="E47" i="5"/>
  <c r="L5" i="4"/>
  <c r="B26" i="3"/>
  <c r="B8" i="8"/>
  <c r="B15" i="8"/>
  <c r="B5" i="13"/>
  <c r="B9" i="10"/>
  <c r="B10" i="10"/>
  <c r="B25" i="10"/>
  <c r="B11" i="10"/>
  <c r="B12" i="10"/>
  <c r="B26" i="10"/>
  <c r="B27" i="10"/>
  <c r="B28" i="10"/>
  <c r="B6" i="13"/>
  <c r="B29" i="10"/>
  <c r="B7" i="13"/>
  <c r="E11" i="5"/>
  <c r="C47" i="5"/>
  <c r="M5" i="4"/>
  <c r="B27" i="3"/>
  <c r="B6" i="8"/>
  <c r="B16" i="8"/>
  <c r="B17" i="8"/>
  <c r="B18" i="8"/>
  <c r="B5" i="9"/>
  <c r="B20" i="9"/>
  <c r="B21" i="9"/>
  <c r="B22" i="9"/>
  <c r="B23" i="9"/>
  <c r="B44" i="9"/>
  <c r="B12" i="9"/>
  <c r="B24" i="9"/>
  <c r="B8" i="13"/>
  <c r="C10" i="7"/>
  <c r="B10" i="7"/>
  <c r="D10" i="7"/>
  <c r="B5" i="7"/>
  <c r="E10" i="7"/>
  <c r="F10" i="7"/>
  <c r="G10" i="7"/>
  <c r="H10" i="7"/>
  <c r="C11" i="7"/>
  <c r="B11" i="7"/>
  <c r="D11" i="7"/>
  <c r="I10" i="7"/>
  <c r="E11" i="7"/>
  <c r="F11" i="7"/>
  <c r="G11" i="7"/>
  <c r="H11" i="7"/>
  <c r="C12" i="7"/>
  <c r="B12" i="7"/>
  <c r="D12" i="7"/>
  <c r="H12" i="7"/>
  <c r="C13" i="7"/>
  <c r="B13" i="7"/>
  <c r="D13" i="7"/>
  <c r="H13" i="7"/>
  <c r="B15" i="7"/>
  <c r="B14" i="13"/>
  <c r="B15" i="13"/>
  <c r="B22" i="16"/>
  <c r="B19" i="16"/>
  <c r="B18" i="16"/>
  <c r="B17" i="16"/>
  <c r="B16" i="16"/>
  <c r="B13" i="16"/>
  <c r="B12" i="16"/>
  <c r="B11" i="16"/>
  <c r="B8" i="16"/>
  <c r="B7" i="16"/>
  <c r="B6" i="16"/>
  <c r="B5" i="16"/>
  <c r="B5" i="11"/>
  <c r="B29" i="11"/>
  <c r="B6" i="11"/>
  <c r="B22" i="11"/>
  <c r="B7" i="11"/>
  <c r="B23" i="11"/>
  <c r="B8" i="11"/>
  <c r="B24" i="11"/>
  <c r="B9" i="11"/>
  <c r="B25" i="11"/>
  <c r="B26" i="11"/>
  <c r="B30" i="11"/>
  <c r="G34" i="15"/>
  <c r="G32" i="15"/>
  <c r="H34" i="15"/>
  <c r="D34" i="15"/>
  <c r="C34" i="15"/>
  <c r="G33" i="15"/>
  <c r="H33" i="15"/>
  <c r="D33" i="15"/>
  <c r="C33" i="15"/>
  <c r="H32" i="15"/>
  <c r="D32" i="15"/>
  <c r="C32" i="15"/>
  <c r="G31" i="15"/>
  <c r="H31" i="15"/>
  <c r="D31" i="15"/>
  <c r="C31" i="15"/>
  <c r="G30" i="15"/>
  <c r="H30" i="15"/>
  <c r="D30" i="15"/>
  <c r="C30" i="15"/>
  <c r="C26" i="15"/>
  <c r="G26" i="15"/>
  <c r="C24" i="15"/>
  <c r="G24" i="15"/>
  <c r="H26" i="15"/>
  <c r="D26" i="15"/>
  <c r="C25" i="15"/>
  <c r="G25" i="15"/>
  <c r="H25" i="15"/>
  <c r="D25" i="15"/>
  <c r="H24" i="15"/>
  <c r="D24" i="15"/>
  <c r="C23" i="15"/>
  <c r="G23" i="15"/>
  <c r="H23" i="15"/>
  <c r="D23" i="15"/>
  <c r="C22" i="15"/>
  <c r="G22" i="15"/>
  <c r="H22" i="15"/>
  <c r="D22" i="15"/>
  <c r="C18" i="15"/>
  <c r="D18" i="15"/>
  <c r="G18" i="15"/>
  <c r="C16" i="15"/>
  <c r="D16" i="15"/>
  <c r="G16" i="15"/>
  <c r="H18" i="15"/>
  <c r="C17" i="15"/>
  <c r="D17" i="15"/>
  <c r="G17" i="15"/>
  <c r="H17" i="15"/>
  <c r="H16" i="15"/>
  <c r="C15" i="15"/>
  <c r="D15" i="15"/>
  <c r="G15" i="15"/>
  <c r="H15" i="15"/>
  <c r="C14" i="15"/>
  <c r="D14" i="15"/>
  <c r="G14" i="15"/>
  <c r="H14" i="15"/>
  <c r="C10" i="15"/>
  <c r="D10" i="15"/>
  <c r="G10" i="15"/>
  <c r="C8" i="15"/>
  <c r="D8" i="15"/>
  <c r="G8" i="15"/>
  <c r="H10" i="15"/>
  <c r="C9" i="15"/>
  <c r="D9" i="15"/>
  <c r="G9" i="15"/>
  <c r="H9" i="15"/>
  <c r="H8" i="15"/>
  <c r="C7" i="15"/>
  <c r="D7" i="15"/>
  <c r="G7" i="15"/>
  <c r="H7" i="15"/>
  <c r="C6" i="15"/>
  <c r="D6" i="15"/>
  <c r="G6" i="15"/>
  <c r="H6" i="15"/>
  <c r="B13" i="12"/>
  <c r="B20" i="12"/>
  <c r="B21" i="12"/>
  <c r="B15" i="12"/>
  <c r="B22" i="12"/>
  <c r="B23" i="12"/>
  <c r="C5" i="13"/>
  <c r="B17" i="12"/>
  <c r="C6" i="13"/>
  <c r="C7" i="13"/>
  <c r="B24" i="12"/>
  <c r="B14" i="12"/>
  <c r="B25" i="12"/>
  <c r="B26" i="12"/>
  <c r="B27" i="12"/>
  <c r="C8" i="13"/>
  <c r="B32" i="13"/>
  <c r="B28" i="13"/>
  <c r="B38" i="9"/>
  <c r="B39" i="9"/>
  <c r="B13" i="9"/>
  <c r="B40" i="9"/>
  <c r="B41" i="9"/>
  <c r="B53" i="9"/>
  <c r="B23" i="13"/>
  <c r="B30" i="10"/>
  <c r="B32" i="12"/>
  <c r="B11" i="9"/>
  <c r="B16" i="12"/>
  <c r="B29" i="12"/>
  <c r="B38" i="11"/>
  <c r="B42" i="11"/>
  <c r="B41" i="11"/>
  <c r="B40" i="11"/>
  <c r="B39" i="11"/>
  <c r="B32" i="11"/>
  <c r="B31" i="11"/>
  <c r="B34" i="10"/>
  <c r="B23" i="3"/>
  <c r="B5" i="10"/>
  <c r="B26" i="6"/>
  <c r="B6" i="7"/>
  <c r="B16" i="7"/>
  <c r="B17" i="7"/>
  <c r="I11" i="7"/>
  <c r="E12" i="7"/>
  <c r="F12" i="7"/>
  <c r="G12" i="7"/>
  <c r="I12" i="7"/>
  <c r="E13" i="7"/>
  <c r="F13" i="7"/>
  <c r="G13" i="7"/>
  <c r="I13" i="7"/>
  <c r="F46" i="6"/>
  <c r="E46" i="6"/>
  <c r="G44" i="6"/>
  <c r="G43" i="6"/>
  <c r="G42" i="6"/>
  <c r="G41" i="6"/>
  <c r="G40" i="6"/>
  <c r="G39" i="6"/>
  <c r="G38" i="6"/>
  <c r="G37" i="6"/>
  <c r="B30" i="6"/>
  <c r="B31" i="6"/>
  <c r="E42" i="5"/>
  <c r="E51" i="5"/>
  <c r="C42" i="5"/>
  <c r="C51" i="5"/>
  <c r="B42" i="5"/>
  <c r="B51" i="5"/>
  <c r="E41" i="5"/>
  <c r="E50" i="5"/>
  <c r="C41" i="5"/>
  <c r="C50" i="5"/>
  <c r="B41" i="5"/>
  <c r="B50" i="5"/>
  <c r="E29" i="5"/>
  <c r="E49" i="5"/>
  <c r="C29" i="5"/>
  <c r="C49" i="5"/>
  <c r="B29" i="5"/>
  <c r="B49" i="5"/>
  <c r="E20" i="5"/>
  <c r="E48" i="5"/>
  <c r="C20" i="5"/>
  <c r="C48" i="5"/>
  <c r="B20" i="5"/>
  <c r="B48" i="5"/>
  <c r="B11" i="5"/>
  <c r="B47" i="5"/>
  <c r="G40" i="5"/>
  <c r="F40" i="5"/>
  <c r="D39" i="5"/>
  <c r="D38" i="5"/>
  <c r="D37" i="5"/>
  <c r="D36" i="5"/>
  <c r="D35" i="5"/>
  <c r="D34" i="5"/>
  <c r="F28" i="5"/>
  <c r="D27" i="5"/>
  <c r="D26" i="5"/>
  <c r="D25" i="5"/>
  <c r="F19" i="5"/>
  <c r="D18" i="5"/>
  <c r="D17" i="5"/>
  <c r="D16" i="5"/>
  <c r="H10" i="5"/>
  <c r="F9" i="5"/>
  <c r="F8" i="5"/>
  <c r="F7" i="5"/>
  <c r="F6" i="5"/>
  <c r="M9" i="4"/>
  <c r="L9" i="4"/>
  <c r="M8" i="4"/>
  <c r="L8" i="4"/>
  <c r="M7" i="4"/>
  <c r="L7" i="4"/>
  <c r="M6" i="4"/>
  <c r="L6" i="4"/>
  <c r="B50" i="3"/>
  <c r="B44" i="3"/>
  <c r="B43" i="3"/>
  <c r="B42" i="3"/>
  <c r="B40" i="3"/>
  <c r="B39" i="3"/>
  <c r="B38" i="3"/>
  <c r="B37" i="3"/>
  <c r="B36" i="3"/>
  <c r="B35" i="3"/>
  <c r="B34" i="3"/>
  <c r="B25" i="3"/>
  <c r="B31" i="3"/>
  <c r="B19" i="3"/>
  <c r="B16" i="3"/>
  <c r="F11" i="5"/>
  <c r="D47" i="5"/>
  <c r="N5" i="4"/>
  <c r="B28" i="3"/>
  <c r="B7" i="8"/>
  <c r="B19" i="8"/>
  <c r="B20" i="8"/>
  <c r="B21" i="8"/>
  <c r="B6" i="9"/>
  <c r="B27" i="9"/>
  <c r="B28" i="9"/>
  <c r="B29" i="9"/>
  <c r="B9" i="13"/>
  <c r="B10" i="13"/>
  <c r="B18" i="13"/>
  <c r="B5" i="14"/>
  <c r="B28" i="12"/>
  <c r="B30" i="12"/>
  <c r="B31" i="12"/>
  <c r="C9" i="13"/>
  <c r="C10" i="13"/>
  <c r="B19" i="13"/>
  <c r="B6" i="14"/>
  <c r="B9" i="14"/>
  <c r="B11" i="14"/>
  <c r="B29" i="16"/>
  <c r="B10" i="14"/>
  <c r="B28" i="16"/>
  <c r="B27" i="16"/>
  <c r="B20" i="13"/>
  <c r="B24" i="16"/>
  <c r="B23" i="16"/>
  <c r="B21" i="16"/>
  <c r="B20" i="16"/>
  <c r="E34" i="15"/>
  <c r="F34" i="15"/>
  <c r="E33" i="15"/>
  <c r="F33" i="15"/>
  <c r="E32" i="15"/>
  <c r="F32" i="15"/>
  <c r="E31" i="15"/>
  <c r="F31" i="15"/>
  <c r="E30" i="15"/>
  <c r="F30" i="15"/>
  <c r="E26" i="15"/>
  <c r="F26" i="15"/>
  <c r="E25" i="15"/>
  <c r="F25" i="15"/>
  <c r="E24" i="15"/>
  <c r="F24" i="15"/>
  <c r="E23" i="15"/>
  <c r="F23" i="15"/>
  <c r="E22" i="15"/>
  <c r="F22" i="15"/>
  <c r="E18" i="15"/>
  <c r="F18" i="15"/>
  <c r="E17" i="15"/>
  <c r="F17" i="15"/>
  <c r="E16" i="15"/>
  <c r="F16" i="15"/>
  <c r="E15" i="15"/>
  <c r="F15" i="15"/>
  <c r="E14" i="15"/>
  <c r="F14" i="15"/>
  <c r="E10" i="15"/>
  <c r="F10" i="15"/>
  <c r="E9" i="15"/>
  <c r="F9" i="15"/>
  <c r="E8" i="15"/>
  <c r="F8" i="15"/>
  <c r="E7" i="15"/>
  <c r="F7" i="15"/>
  <c r="E6" i="15"/>
  <c r="F6" i="15"/>
  <c r="B12" i="14"/>
  <c r="B34" i="13"/>
  <c r="B33" i="13"/>
  <c r="B21" i="13"/>
  <c r="B35" i="11"/>
  <c r="D42" i="5"/>
  <c r="D51" i="5"/>
  <c r="D41" i="5"/>
  <c r="D50" i="5"/>
  <c r="D29" i="5"/>
  <c r="D49" i="5"/>
  <c r="D20" i="5"/>
  <c r="D48" i="5"/>
  <c r="N9" i="4"/>
  <c r="N8" i="4"/>
  <c r="N7" i="4"/>
  <c r="N6" i="4"/>
  <c r="B49" i="3"/>
  <c r="B48" i="3"/>
  <c r="B47" i="3"/>
  <c r="B46" i="3"/>
  <c r="B45" i="3"/>
  <c r="B41" i="3"/>
</calcChain>
</file>

<file path=xl/sharedStrings.xml><?xml version="1.0" encoding="utf-8"?>
<sst xmlns="http://schemas.openxmlformats.org/spreadsheetml/2006/main" count="1089" uniqueCount="751">
  <si>
    <t>Indian Aquaculture GHG &amp; Carbon Reduction Assessment Tool</t>
  </si>
  <si>
    <t>Version 3.3 (Excel) — IMC | Pangasius | Red Pacu | P. vannamei | P. monodon</t>
  </si>
  <si>
    <t>How this workbook works</t>
  </si>
  <si>
    <t>This is a linked calculation engine, not a static sheet. Select a Culture Type on the Dashboard and every downstream module — growth, feed, pond emissions, energy, carbon accounting — recalculates automatically from the Species Database and Feed Database.</t>
  </si>
  <si>
    <t>Sheet order &amp; purpose</t>
  </si>
  <si>
    <t>1. Dashboard — select culture type, enter farm details, view all headline results (production, GHG and cost/profit) in one place.</t>
  </si>
  <si>
    <t>2. Species Database — stocking, growth, harvest-stage, survival, aeration and FCR (average + improved target) parameters for all 5 culture types.</t>
  </si>
  <si>
    <t>3. Feed Database — ingredient/stage-level nutrient composition, emission factors and sourcing notes; blends into the feed profile used by each species.</t>
  </si>
  <si>
    <t>4. Growth &amp; Feed Model — period-by-period biomass growth (specific growth rate model) and cumulative feed requirement.</t>
  </si>
  <si>
    <t>5. Harvest Schedule — cascading partial/final (or count-stage) harvest events; population and biomass recalculate automatically after each event; determines actual Total Production.</t>
  </si>
  <si>
    <t>6. Feed Emission Model — feed manufacturing CO2e, and the feed carbon/nitrogen mass balance (retained vs. lost).</t>
  </si>
  <si>
    <t>7. Pond Emission Model — converts carbon/nitrogen lost to the pond into CH4 (with an oxidation correction) and N2O.</t>
  </si>
  <si>
    <t>8. Energy Module — paddlewheel, blowers, diesel, grid electricity and solar offset converted to CO2e.</t>
  </si>
  <si>
    <t>9. Economics Module — feed/electricity/diesel/labour/seed/probiotics cost, gross income, net profit, cost per kg and profit per tCO2e reduced.</t>
  </si>
  <si>
    <t>10. Improved Farming Scenario — tick the management changes you plan to apply; the sheet recalculates FCR, CH4, N2O and energy under the improved case.</t>
  </si>
  <si>
    <t>11. Carbon Accounting — Baseline vs. Improved gross emissions, carbon stored in harvested biomass, net emissions and emission intensity.</t>
  </si>
  <si>
    <t>12. Carbon Reduction Summary — the headline reduction and potential carbon credit equivalent.</t>
  </si>
  <si>
    <t>13. Sensitivity Analysis — approximate FCR, Survival and Energy-use sensitivity on emissions and net profit.</t>
  </si>
  <si>
    <t>14. Report — a clean, printable one-page summary pulling from all of the above.</t>
  </si>
  <si>
    <t>15. Scientific References — every default value, emission factor and coefficient used, with its citation, so any number in this tool can be traced and defended.</t>
  </si>
  <si>
    <t>Color legend</t>
  </si>
  <si>
    <t>Blue bold text on yellow fill = input cell (edit this)</t>
  </si>
  <si>
    <t>Black text = formula (do not edit)</t>
  </si>
  <si>
    <t>Navy header bar = section header</t>
  </si>
  <si>
    <t>Important caveat</t>
  </si>
  <si>
    <t>All species parameters, feed profiles, emission factors and improvement-measure effect sizes are literature-informed defaults for screening purposes. Before using this tool's output in a funding submission, DPR/BDP, or carbon credit claim, replace defaults with farm records and, where possible, field-measured DO/redox and gas-flux data as outlined in the accompanying Concept Note and Data Collection Checklist.</t>
  </si>
  <si>
    <t>This Excel version is Stage 1 of a three-stage roadmap (Excel → web application → AI-powered decision-support platform). It is built so every stage can reuse the same calculation logic.</t>
  </si>
  <si>
    <t>What's new in v2.2</t>
  </si>
  <si>
    <t>Pond Emission Model: added an optional Lime &amp; Fertilizer Emissions section (IPCC Tier 1 defaults) now folded into Gross Emission.</t>
  </si>
  <si>
    <t>Economics Module: added an Annual Rollup (Multi-Crop) block — Annual Production, Annual Total Cost, Annual Gross Income, Annual Net Profit.</t>
  </si>
  <si>
    <t>New Sensitivity Analysis sheet: approximate (first-order, proportional) FCR, Survival and Energy-use scenarios showing the effect on Net Emission, Emission Intensity and Net Profit — useful for seeing how thin/robust the farm's margin is.</t>
  </si>
  <si>
    <t>v2.1 carryover: IMC Species Database updated to reported farm practice; Harvest Schedule rebuilt as a cascading population model; Economics Module and expanded Dashboard added; References rebuilt with citations.</t>
  </si>
  <si>
    <t>Known limitations / not yet implemented</t>
  </si>
  <si>
    <t>Pangasius, Red Pacu, P. vannamei and P. monodon still use illustrative (not farm-validated) parameters — next priority for validation.</t>
  </si>
  <si>
    <t>Growth Model uses a single specific-growth-rate curve rather than a full stage-wise feed-intake model; adequate for screening but flagged for future refinement, especially for shrimp.</t>
  </si>
  <si>
    <t>Sensitivity Analysis is a proportional approximation (linear scaling from the baseline), not a full re-simulation of the Growth Model per scenario — treat as directional.</t>
  </si>
  <si>
    <t>See the new Change Log sheet for the full, version-by-version list of what changed and what remains deferred.</t>
  </si>
  <si>
    <t>Change Log</t>
  </si>
  <si>
    <t>Version</t>
  </si>
  <si>
    <t>Change</t>
  </si>
  <si>
    <t>Sheet(s) Affected</t>
  </si>
  <si>
    <t>v2.1</t>
  </si>
  <si>
    <t>IMC Species Database updated to reported farm practice (6,250/ha; 150g stocking; 1/1.5kg partial/final harvest; FCR 3.0/2.5).</t>
  </si>
  <si>
    <t>Species Database</t>
  </si>
  <si>
    <t>Harvest Schedule rebuilt as a cascading population model — event weights pulled from the growth curve; population/biomass carry forward after each event.</t>
  </si>
  <si>
    <t>Harvest Schedule</t>
  </si>
  <si>
    <t>New Economics Module: feed/electricity/diesel/labour/seed/probiotics cost, gross income, net profit, cost/profit per kg.</t>
  </si>
  <si>
    <t>Economics Module</t>
  </si>
  <si>
    <t>Dashboard expanded with cost and carbon-fate outputs; Scientific References rebuilt with a dedicated Citation column.</t>
  </si>
  <si>
    <t>Dashboard, Scientific References</t>
  </si>
  <si>
    <t>v2.2</t>
  </si>
  <si>
    <t>Added Lime &amp; Fertilizer Emissions (IPCC Tier 1 defaults), folded into Gross Emission.</t>
  </si>
  <si>
    <t>Pond Emission Model, Carbon Accounting</t>
  </si>
  <si>
    <t>Added Annual Rollup (Multi-Crop) to Economics Module.</t>
  </si>
  <si>
    <t>New Sensitivity Analysis sheet: FCR, Survival and Energy-use scenarios vs. Net Emission, Emission Intensity, Net Profit.</t>
  </si>
  <si>
    <t>Sensitivity Analysis</t>
  </si>
  <si>
    <t>v2.3</t>
  </si>
  <si>
    <t>Added GWP AR5/AR6 toggle (later moved to Dashboard in v3.0), N2O-N EF presets (0.71%/1.8%/Custom), and an Anaerobic Fraction Adjustment Factor (0.8-1.5).</t>
  </si>
  <si>
    <t>Pond Emission Model</t>
  </si>
  <si>
    <t>Added a Stage FCR Multiplier column to the Growth Model's period table (default 1.00, editable per period).</t>
  </si>
  <si>
    <t>Growth &amp; Feed Model</t>
  </si>
  <si>
    <t>Added Generator Efficiency (informational) and solar-sizing guidance.</t>
  </si>
  <si>
    <t>Energy Module</t>
  </si>
  <si>
    <t>Added an optional, strongly-caveated Sediment Organic Carbon Sequestration estimate (informational only, NOT counted in Net Emission) and an Edible-Yield Emission Intensity metric.</t>
  </si>
  <si>
    <t>Carbon Accounting</t>
  </si>
  <si>
    <t>Added two new Improved Farming measures: Optimized Feeding Timing and C/N Ratio Management (carbon source dosing) — combined multiplicatively with the original five.</t>
  </si>
  <si>
    <t>Improved Farming Scenario</t>
  </si>
  <si>
    <t>Added an Anaerobic Fraction sensitivity block and expanded the disclaimer to flag single-driver, non-joint, approximate limitations.</t>
  </si>
  <si>
    <t>v3.0</t>
  </si>
  <si>
    <t>Moved the GWP Framework toggle (AR5/AR6) to the Dashboard as the single source of truth; Pond Emission Model now follows it automatically.</t>
  </si>
  <si>
    <t>Dashboard, Pond Emission Model</t>
  </si>
  <si>
    <t>Added a Sediment Carbon Burial/Sequestration Fraction (10-30%, default 20%) that nets out of the active anaerobic carbon pool before CH4 is calculated — previously all non-retained carbon was treated as available for methanogenesis.</t>
  </si>
  <si>
    <t>Pond Emission Model, Improved Farming Scenario</t>
  </si>
  <si>
    <t>Added an optional Pond Idle/Sun-Drying Phase emission line (illustrative EF, flagged for field validation) covering the inter-crop period, folded into Gross Emission.</t>
  </si>
  <si>
    <t>Added a Logistic (Sigmoidal) growth curve option alongside the existing Exponential (SGR) curve — tapers growth near harvest weight instead of accelerating indefinitely; solved to pass through the actual harvest weight at the culture duration.</t>
  </si>
  <si>
    <t>Added Mortality Feed Consumption: feed intake by stock that die during a period is now partially counted (editable factor, default 50% of a full ration) rather than assuming only survivors ate.</t>
  </si>
  <si>
    <t>Harvest Schedule and Energy Module aeration inputs are now dynamically synced to Culture Type via a species-defaults reference table; changing Culture Type on the Dashboard auto-fills Day/Count/%Harvested and paddlewheel/blower defaults. Type over any cell to override — Excel-native, since this workbook intentionally avoids macros/VBA for portability.</t>
  </si>
  <si>
    <t>Harvest Schedule, Energy Module</t>
  </si>
  <si>
    <t>Sensitivity Analysis's fixed-cost terms updated to include the new Idle Phase CO2e for internal consistency.</t>
  </si>
  <si>
    <t>v3.1</t>
  </si>
  <si>
    <t>Replaced the redox-potential (Eh) calibration guidance for Anaerobic Fraction with a Dissolved Oxygen + Hydrogen Sulphate (H2S) rule, grounded in an actual regional aqua lab water report — redox probes are not realistically available on-farm, but DO and H2S are standard fields on every lab report farmers already receive.</t>
  </si>
  <si>
    <t>v3.2</t>
  </si>
  <si>
    <t>v3.3</t>
  </si>
  <si>
    <t>Not yet implemented (deferred)</t>
  </si>
  <si>
    <t>• Charts (emissions breakdown pie, baseline vs. improved bars, sensitivity tornado) — candidate for next revision.</t>
  </si>
  <si>
    <t>• Cell/sheet protection (locking formulas while keeping inputs editable) — candidate for next revision.</t>
  </si>
  <si>
    <t>• Dashboard traffic-light Validation Score and prominent Harvest-vs-Growth variance flag — the variance figure exists on Harvest Schedule today but is not yet mirrored to the Dashboard with conditional formatting.</t>
  </si>
  <si>
    <t>• True multi-pond/multi-farm support (independent species/size per pond) — only single-pond-scaled-by-crops-per-year exists today.</t>
  </si>
  <si>
    <t>• One-click automated PDF export — manual Print/Export to PDF on the Report sheet works today.</t>
  </si>
  <si>
    <t>• Custom ingredient rows in the Feed Database beyond editing the existing DOB/GNC/SBM/DDGS and per-stage entries directly.</t>
  </si>
  <si>
    <t>• Pangasius, Red Pacu, P. vannamei and P. monodon species/growth parameters remain illustrative, not farm-validated.</t>
  </si>
  <si>
    <t>Indian Aquaculture GHG &amp; Carbon Reduction Dashboard</t>
  </si>
  <si>
    <t>Select culture type and enter farm details. All results below update automatically.</t>
  </si>
  <si>
    <t>After changing Culture Type: update quantities on the Harvest Schedule sheet and aeration/diesel inputs on the Energy Module sheet to match the new system — these are farm-record inputs and do not auto-change.</t>
  </si>
  <si>
    <t>A. Farm &amp; Crop Details</t>
  </si>
  <si>
    <t>Culture Type</t>
  </si>
  <si>
    <t>IMC</t>
  </si>
  <si>
    <t>select</t>
  </si>
  <si>
    <t>Choose from the 5 supported culture types</t>
  </si>
  <si>
    <t>Farm Name</t>
  </si>
  <si>
    <t>Sample Farm</t>
  </si>
  <si>
    <t>text</t>
  </si>
  <si>
    <t>Farmer Name</t>
  </si>
  <si>
    <t>State</t>
  </si>
  <si>
    <t>Andhra Pradesh</t>
  </si>
  <si>
    <t>District</t>
  </si>
  <si>
    <t>District Name</t>
  </si>
  <si>
    <t>Pond Area</t>
  </si>
  <si>
    <t>ha</t>
  </si>
  <si>
    <t>Total water spread area</t>
  </si>
  <si>
    <t>Average Water Depth</t>
  </si>
  <si>
    <t>m</t>
  </si>
  <si>
    <t>For reference / MRV context</t>
  </si>
  <si>
    <t>Number of Crops per Year</t>
  </si>
  <si>
    <t>crops/yr</t>
  </si>
  <si>
    <t>1 for carp/pangasius; 2 for many shrimp systems</t>
  </si>
  <si>
    <t>Farm-Reported FCR (optional override)</t>
  </si>
  <si>
    <t>ratio</t>
  </si>
  <si>
    <t>Leave blank to use the species default FCR</t>
  </si>
  <si>
    <t>GWP Framework Version</t>
  </si>
  <si>
    <t>AR5</t>
  </si>
  <si>
    <t>AR5 / AR6</t>
  </si>
  <si>
    <t>AR5 = IPCC 2013 (CH4 GWP=28, N2O GWP=265); AR6 = IPCC 2021 (CH4 GWP=27 biogenic, N2O GWP=273). Drives GWP values used in the Pond Emission Model and all downstream sheets.</t>
  </si>
  <si>
    <t>B. Selected Species Parameters (auto-filled from Species Database)</t>
  </si>
  <si>
    <t>Category</t>
  </si>
  <si>
    <t>Stocking Density</t>
  </si>
  <si>
    <t>Stocking Weight</t>
  </si>
  <si>
    <t>Partial Harvest Weight</t>
  </si>
  <si>
    <t>Final Harvest Weight</t>
  </si>
  <si>
    <t>Culture Duration</t>
  </si>
  <si>
    <t>Survival</t>
  </si>
  <si>
    <t>Aeration Required</t>
  </si>
  <si>
    <t>Average FCR</t>
  </si>
  <si>
    <t>Improved FCR Target</t>
  </si>
  <si>
    <t>Feed Manufacturing EF</t>
  </si>
  <si>
    <t>Feed Carbon Content</t>
  </si>
  <si>
    <t>Feed Nitrogen Content</t>
  </si>
  <si>
    <t>Actual FCR Used in Model</t>
  </si>
  <si>
    <t>Improved FCR Target (species reference)</t>
  </si>
  <si>
    <t>Compare against Improved Farming Scenario's modelled result</t>
  </si>
  <si>
    <t>C. Key Outputs — Baseline Crop Summary</t>
  </si>
  <si>
    <t>Total Production</t>
  </si>
  <si>
    <t>kg</t>
  </si>
  <si>
    <t>Total Feed Required</t>
  </si>
  <si>
    <t>Feed Cost</t>
  </si>
  <si>
    <t>Rs</t>
  </si>
  <si>
    <t>Feed Carbon</t>
  </si>
  <si>
    <t>kg C</t>
  </si>
  <si>
    <t>Carbon Retained in Biomass</t>
  </si>
  <si>
    <t>Carbon Lost to Pond</t>
  </si>
  <si>
    <t>CH4 Emission (CO2e)</t>
  </si>
  <si>
    <t>tCO2e</t>
  </si>
  <si>
    <t>N2O Emission (CO2e)</t>
  </si>
  <si>
    <t>Electricity Cost</t>
  </si>
  <si>
    <t>Diesel Cost</t>
  </si>
  <si>
    <t>Energy CO2e</t>
  </si>
  <si>
    <t>Total Gross CO2e</t>
  </si>
  <si>
    <t>Net Emission</t>
  </si>
  <si>
    <t>CO2e per kg Production</t>
  </si>
  <si>
    <t>kgCO2e/kg</t>
  </si>
  <si>
    <t>Carbon Reduction (Improved vs. Baseline)</t>
  </si>
  <si>
    <t>tCO2e/crop</t>
  </si>
  <si>
    <t>Potential Carbon Credit Equivalent (per year)</t>
  </si>
  <si>
    <t>tCO2e/yr</t>
  </si>
  <si>
    <t>Net Profit</t>
  </si>
  <si>
    <t>Editable defaults (yellow). Feed Carbon/Nitrogen/EF columns are linked formulas pulling the blended profile from the Feed Database sheet. IMC values reflect reported farm practice (v2.1); other species remain illustrative pending validation.</t>
  </si>
  <si>
    <t>Stocking Density
(no./ha)</t>
  </si>
  <si>
    <t>Stocking Weight
(g)</t>
  </si>
  <si>
    <t>Partial Harvest
Weight (g)</t>
  </si>
  <si>
    <t>Final Harvest
Weight (g)</t>
  </si>
  <si>
    <t>Culture Duration
(days)</t>
  </si>
  <si>
    <t>Survival
(%)</t>
  </si>
  <si>
    <t>Aeration
Required</t>
  </si>
  <si>
    <t>Average FCR
(Baseline)</t>
  </si>
  <si>
    <t>Improved FCR
(Target)</t>
  </si>
  <si>
    <t>Feed Mfg. EF
(kgCO2e/kg)</t>
  </si>
  <si>
    <t>Feed Carbon
Content (%)</t>
  </si>
  <si>
    <t>Feed Nitrogen
Content (%)</t>
  </si>
  <si>
    <t>Notes / Source</t>
  </si>
  <si>
    <t>Freshwater Fish (polyculture)</t>
  </si>
  <si>
    <t>No</t>
  </si>
  <si>
    <t>Reported farm practice: 150 g stocking, partial harvest at 1 kg, final at 1.5 kg, FCR 3.0 average / 2.5 improved. Duration is an editable estimate — confirm actual days-to-harvest.</t>
  </si>
  <si>
    <t>Pangasius</t>
  </si>
  <si>
    <t>Freshwater Fish (monoculture)</t>
  </si>
  <si>
    <t>Illustrative intensive pond defaults — not yet validated against farm records. Single (final) harvest assumed — set Partial Harvest Weight if the farm thins the pond.</t>
  </si>
  <si>
    <t>Red Pacu</t>
  </si>
  <si>
    <t>Yes</t>
  </si>
  <si>
    <t>Illustrative defaults — not yet validated against farm records.</t>
  </si>
  <si>
    <t>P. vannamei</t>
  </si>
  <si>
    <t>Shrimp</t>
  </si>
  <si>
    <t>Illustrative defaults — not yet validated. Count-stage harvests (80/60/40/30 count) are modelled event-by-event on the Harvest Schedule sheet; Partial/Final Harvest Weight here are reference points only (60 count / 30 count).</t>
  </si>
  <si>
    <t>P. monodon</t>
  </si>
  <si>
    <t>Illustrative defaults — not yet validated. First thinning at 30 count, final harvest averaged at 10-20 count (66.7 g) — modelled on the Harvest Schedule sheet.</t>
  </si>
  <si>
    <t>Feed Database</t>
  </si>
  <si>
    <t>Enter feed mix % by ingredient/stage (each block must sum to 100%). Blended rows compute the weighted-average nutrient and emission profile used by Species Database.</t>
  </si>
  <si>
    <t>A. IMC — Ingredient Mix</t>
  </si>
  <si>
    <t>Ingredient</t>
  </si>
  <si>
    <t>Protein %</t>
  </si>
  <si>
    <t>Fat %</t>
  </si>
  <si>
    <t>Fibre %</t>
  </si>
  <si>
    <t>Carbon %</t>
  </si>
  <si>
    <t>Nitrogen %
(=Protein/6.25)</t>
  </si>
  <si>
    <t>Emission Factor
(kgCO2e/kg)</t>
  </si>
  <si>
    <t>% of IMC
Feed Mix</t>
  </si>
  <si>
    <t>De-oiled Bran (DOB)</t>
  </si>
  <si>
    <t>Protein/Fat/Fibre from NIR spectroscopy on de-oiled rice bran (lab composition study). Carbon % is a component-based estimate (protein ~53% C, oil ~77% C, fibre ~44% C, remainder bracketed 28-41% C depending on ash content) — see Scientific References.</t>
  </si>
  <si>
    <t>Groundnut Cake (GNC)</t>
  </si>
  <si>
    <t>Soybean Meal (SBM)</t>
  </si>
  <si>
    <t>DDGS</t>
  </si>
  <si>
    <t>Mix % check (must = 100%)</t>
  </si>
  <si>
    <t>IMC Blended Feed Profile</t>
  </si>
  <si>
    <t>Source: Protein/fat/fibre — BIS feed ingredient standards and ICAR-CIFA carp feed formulation literature; nitrogen derived at protein÷6.25; emission factors — agri-byproduct LCA literature (verify against supplier data).</t>
  </si>
  <si>
    <t>B. Pangasius — Feed Stages</t>
  </si>
  <si>
    <t>Feed Stage</t>
  </si>
  <si>
    <t>% of Total Feed</t>
  </si>
  <si>
    <t>Starter</t>
  </si>
  <si>
    <t>Grower</t>
  </si>
  <si>
    <t>Finisher</t>
  </si>
  <si>
    <t>Blended Feed Profile</t>
  </si>
  <si>
    <t>Source: Indicative commercial pangasius feed protein/carbon values — cross-check against feed mill spec sheets (e.g., CIFA/ICAR pangasius nutrition literature).</t>
  </si>
  <si>
    <t>C. Red Pacu — Feed Stages</t>
  </si>
  <si>
    <t>Source: Indicative commercial feed protein/carbon values, aligned to pangasius-equivalent stages pending Red Pacu-specific data — cross-check against feed mill spec sheets.</t>
  </si>
  <si>
    <t>D. Shrimp — Feed Stages (Species A = P. vannamei, Species B = P. monodon)</t>
  </si>
  <si>
    <t>% Total Feed
(Species A)</t>
  </si>
  <si>
    <t>% Total Feed
(Species B)</t>
  </si>
  <si>
    <t>Pre-Starter</t>
  </si>
  <si>
    <t>Grower I</t>
  </si>
  <si>
    <t>Grower II</t>
  </si>
  <si>
    <t>Grower III</t>
  </si>
  <si>
    <t>Blended Feed Profile (Species A)</t>
  </si>
  <si>
    <t>Blended Feed Profile (Species B)</t>
  </si>
  <si>
    <t>Source: Indicative commercial shrimp feed protein/carbon values by stage — cross-check against CIBA (ICAR-Central Institute of Brackishwater Aquaculture) shrimp feed literature and feed mill spec sheets.</t>
  </si>
  <si>
    <t>E. Blended Feed Profile Summary (used by Species Database)</t>
  </si>
  <si>
    <t>Nitrogen %</t>
  </si>
  <si>
    <t>Specific Growth Rate (SGR) model from Dashboard/Species Database inputs. Do not edit — pulls automatically.</t>
  </si>
  <si>
    <t>Reference Inputs (from Dashboard)</t>
  </si>
  <si>
    <t>no./ha</t>
  </si>
  <si>
    <t>Total Stocked Number</t>
  </si>
  <si>
    <t>nos.</t>
  </si>
  <si>
    <t>Formula: Stocking density x Pond area</t>
  </si>
  <si>
    <t>Initial Weight</t>
  </si>
  <si>
    <t>g</t>
  </si>
  <si>
    <t>Harvest Weight</t>
  </si>
  <si>
    <t>days</t>
  </si>
  <si>
    <t>%</t>
  </si>
  <si>
    <t>FCR Used</t>
  </si>
  <si>
    <t>Specific Growth Rate constant (k)</t>
  </si>
  <si>
    <t>per day</t>
  </si>
  <si>
    <t>Formula: LN(Harvest wt / Initial wt) / Duration</t>
  </si>
  <si>
    <t>Period-by-Period Growth &amp; Feed Table (6 equal periods)</t>
  </si>
  <si>
    <t>Period</t>
  </si>
  <si>
    <t>Day</t>
  </si>
  <si>
    <t>Individual Weight (g)</t>
  </si>
  <si>
    <t>Surviving Population</t>
  </si>
  <si>
    <t>Standing Biomass (kg)</t>
  </si>
  <si>
    <t>Period Feed Required (kg)</t>
  </si>
  <si>
    <t>Cumulative Feed (kg)</t>
  </si>
  <si>
    <t>Stage FCR
Multiplier</t>
  </si>
  <si>
    <t>Stage FCR Multiplier (v2.3): defaults to 1.00 for every period. Increase for stages with known lower feed efficiency (e.g., early post-larval shrimp stages, or the last month before harvest for some species) or decrease for stages with better efficiency. Leave at 1.00 across all periods to reproduce the plain SGR-based estimate.</t>
  </si>
  <si>
    <t>Growth Model Outputs</t>
  </si>
  <si>
    <t>Total Feed Required (Growth Model estimate)</t>
  </si>
  <si>
    <t>Formula: Cumulative feed at final period</t>
  </si>
  <si>
    <t>Estimated Standing Biomass at Culture End</t>
  </si>
  <si>
    <t>Reference figure for Harvest Schedule cross-check</t>
  </si>
  <si>
    <t>Advanced Growth Options (v3.0)</t>
  </si>
  <si>
    <t>Growth Curve Type</t>
  </si>
  <si>
    <t>Exponential (SGR)</t>
  </si>
  <si>
    <t>Exponential / Logistic</t>
  </si>
  <si>
    <t>Exponential (SGR) overestimates late-stage biomass for some systems; Logistic (Sigmoidal) tapers growth as the stock approaches harvest weight and is often more realistic, especially for shrimp</t>
  </si>
  <si>
    <t>Logistic Asymptotic Weight (Wmax)</t>
  </si>
  <si>
    <t>Formula: Harvest weight / 0.98 — sets the curve's ceiling just above the target harvest weight</t>
  </si>
  <si>
    <t>Logistic Growth Rate (r)</t>
  </si>
  <si>
    <t>Solved so the logistic curve passes through the harvest weight at the culture duration</t>
  </si>
  <si>
    <t>Mortality Feed Consumption Factor</t>
  </si>
  <si>
    <t>fraction</t>
  </si>
  <si>
    <t>Fraction of a full ration consumed by stock that die during the period, before death — 0 ignores mortality feed entirely, 1 assumes dying stock ate a full ration throughout the period. Applied to the Period Feed Required formula below.</t>
  </si>
  <si>
    <t>Empirical IMC Feeding Rate Reference (v3.2, informational — not wired into the calculation)</t>
  </si>
  <si>
    <t>A published field survey (2010) of IMC feeding rates by body weight, using %body-weight/day feeding rates for two regimes: sinking pellet (20% protein) + de-oiled rice bran, versus floating feed alone (22% protein). Shown here as a cross-check on the Average FCR entered in the Species Database, not as a replacement for farm-reported data — real farm FCR reflects feed wastage and water-quality losses that an idealized feeding-rate table does not capture.</t>
  </si>
  <si>
    <t>Initial Weight
(kg)</t>
  </si>
  <si>
    <t>Monthly Growth
(kg/month)</t>
  </si>
  <si>
    <t>Sinking Feed Rate
(%BW/day, 20% pr.)</t>
  </si>
  <si>
    <t>DOB Feed Rate
(%BW/day)</t>
  </si>
  <si>
    <t>Total (Sinking+DOB)
Rate (%BW/day)</t>
  </si>
  <si>
    <t>Floating Feed Rate
(%BW/day, 22% pr.)</t>
  </si>
  <si>
    <t>Implied Monthly FCR
(Sinking+DOB / Floating)</t>
  </si>
  <si>
    <t>Cumulative implied FCR, 0.100 → 1.220 kg (8 months / 240 days)</t>
  </si>
  <si>
    <t>← Sinking+DOB / Floating</t>
  </si>
  <si>
    <t>Each event's weight comes from the Growth Model's growth curve (or a count-per-kg override for shrimp). Population and biomass cascade forward automatically after every harvest event.</t>
  </si>
  <si>
    <t>Defaults below reflect IMC (partial harvest ~1 kg, final ~1.5 kg). For P. vannamei, use 4 events at 80/60/40/30 count; for P. monodon, use 2 events at 30 count then a final 10-20 count (avg. 15 count). Edit Day, Count and % Harvested to match your species after switching Culture Type on the Dashboard.</t>
  </si>
  <si>
    <t>Total Stocked Number (Growth Model reference)</t>
  </si>
  <si>
    <t>Estimated Standing Biomass at Culture End (Growth Model reference)</t>
  </si>
  <si>
    <t>Compare against total harvested quantity below</t>
  </si>
  <si>
    <t>Harvest Events</t>
  </si>
  <si>
    <t>Harvest Event
(editable label)</t>
  </si>
  <si>
    <t>Count per kg
(shrimp, optional)</t>
  </si>
  <si>
    <t>Weight Used
(g)</t>
  </si>
  <si>
    <t>Population
Before Event</t>
  </si>
  <si>
    <t>% of Remaining
Population Harvested</t>
  </si>
  <si>
    <t>Population
Harvested</t>
  </si>
  <si>
    <t>Quantity
Harvested (kg)</t>
  </si>
  <si>
    <t>Population
Remaining After</t>
  </si>
  <si>
    <t>Partial Harvest</t>
  </si>
  <si>
    <t>Final Harvest</t>
  </si>
  <si>
    <t>Harvest Event 3</t>
  </si>
  <si>
    <t>Harvest Event 4</t>
  </si>
  <si>
    <t>TOTAL PRODUCTION</t>
  </si>
  <si>
    <t>Formula: Sum of all harvest quantities — this is the canonical production figure used downstream</t>
  </si>
  <si>
    <t>Variance vs. Growth Model Estimate</t>
  </si>
  <si>
    <t>Large variance suggests growth model defaults need site calibration</t>
  </si>
  <si>
    <t>Variance %</t>
  </si>
  <si>
    <t>Species Harvest Defaults (v3.0) — auto-fills Day/Count/% above when Culture Type changes on the Dashboard</t>
  </si>
  <si>
    <t>The Day, Count per kg and % Harvested cells above are FORMULAS that read the row matching the current Culture Type below. To customize for your farm, simply type your own number directly into any of those cells — your typed value replaces the formula and stops auto-syncing for that cell. To restore auto-sync later, copy the formula back from the matching cell in the table below.</t>
  </si>
  <si>
    <t>Ev.1 Day</t>
  </si>
  <si>
    <t>Ev.1 Count</t>
  </si>
  <si>
    <t>Ev.1 %</t>
  </si>
  <si>
    <t>Ev.2 Day</t>
  </si>
  <si>
    <t>Ev.2 Count</t>
  </si>
  <si>
    <t>Ev.2 %</t>
  </si>
  <si>
    <t>Ev.3 Day</t>
  </si>
  <si>
    <t>Ev.3 Count</t>
  </si>
  <si>
    <t>Ev.3 %</t>
  </si>
  <si>
    <t>Ev.4 Day</t>
  </si>
  <si>
    <t>Ev.4 Count</t>
  </si>
  <si>
    <t>Ev.4 %</t>
  </si>
  <si>
    <t>Feed Emission Model (Scope 3)</t>
  </si>
  <si>
    <t>Reference Inputs</t>
  </si>
  <si>
    <t>From Growth &amp; Feed Model</t>
  </si>
  <si>
    <t>Feed Manufacturing Emission Factor</t>
  </si>
  <si>
    <t>Retention Efficiencies (Boyd / Avnimelech — editable)</t>
  </si>
  <si>
    <t>Carbon Retention Efficiency in Harvested Biomass</t>
  </si>
  <si>
    <t>Typical range 18-25%</t>
  </si>
  <si>
    <t>Nitrogen Retention Efficiency in Harvested Biomass</t>
  </si>
  <si>
    <t>Typical range 20-30%</t>
  </si>
  <si>
    <t>Feed Manufacturing &amp; Mass Balance</t>
  </si>
  <si>
    <t>Feed Production Scope 3 CO2e</t>
  </si>
  <si>
    <t>Formula: Feed (kg) x EF / 1000</t>
  </si>
  <si>
    <t>Total Feed Carbon Input</t>
  </si>
  <si>
    <t>Formula: Feed (kg) x Carbon content %</t>
  </si>
  <si>
    <t>Carbon Retained in Harvested Biomass</t>
  </si>
  <si>
    <t>Carbon Lost to Pond (Sediment/Water)</t>
  </si>
  <si>
    <t>Feeds into the Pond Emission Model</t>
  </si>
  <si>
    <t>Total Feed Nitrogen Input</t>
  </si>
  <si>
    <t>kg N</t>
  </si>
  <si>
    <t>Formula: Feed (kg) x Nitrogen content %</t>
  </si>
  <si>
    <t>Nitrogen Retained in Harvested Biomass</t>
  </si>
  <si>
    <t>Nitrogen Lost to Pond (Water/Sediment)</t>
  </si>
  <si>
    <t>Pond Emission Model (Scope 1 — CH4 &amp; N2O)</t>
  </si>
  <si>
    <t>Baseline scenario. The Improved Farming Scenario sheet re-runs this logic with management-adjusted inputs.</t>
  </si>
  <si>
    <t>From Feed Emission Model</t>
  </si>
  <si>
    <t>Nitrogen Lost to Pond</t>
  </si>
  <si>
    <t>DO / Redox-Based Assumptions (baseline — editable, calibrate from field data)</t>
  </si>
  <si>
    <t>Anaerobic Fraction of Carbon Lost</t>
  </si>
  <si>
    <t>Calibrate from a standard aqua lab water report (not a redox probe, which is rarely available on-farm): use the higher end (25-30%) if Dissolved Oxygen is below 3-4 ppm and/or Hydrogen Sulphate (H2S) is detected (not "Nil"); use the lower end (10-15%) if DO is consistently at or above 4 ppm and H2S reads Nil across samples. H2S presence/absence is the practical field proxy for anaerobic sediment conditions.</t>
  </si>
  <si>
    <t>CH4 Oxidation Fraction (in water column before release)</t>
  </si>
  <si>
    <t>Fraction of produced CH4 re-oxidized to CO2 in the oxic surface layer</t>
  </si>
  <si>
    <t>N2O-N Emission Factor (% of Nitrogen Lost)</t>
  </si>
  <si>
    <t>Auto-computed from the N2O-N EF Preset in Advanced Options below — edit the preset or the Custom value there, not this cell</t>
  </si>
  <si>
    <t>GWP - CH4 (100-yr, AR5)</t>
  </si>
  <si>
    <t>multiplier</t>
  </si>
  <si>
    <t>Auto-computed from the GWP Standard toggle in Advanced Options below</t>
  </si>
  <si>
    <t>GWP - N2O (100-yr, AR5)</t>
  </si>
  <si>
    <t>Optional Measured Flux Overrides (leave blank to use modelled estimate)</t>
  </si>
  <si>
    <t>Measured CH4 (kg CH4/crop)</t>
  </si>
  <si>
    <t>kg/crop</t>
  </si>
  <si>
    <t>From floating chamber measurement, if available</t>
  </si>
  <si>
    <t>Measured N2O (kg N2O/crop)</t>
  </si>
  <si>
    <t>CH4 Calculation</t>
  </si>
  <si>
    <t>CH4-C Produced</t>
  </si>
  <si>
    <t>Carbon lost, net of the Sediment Carbon Burial Fraction (Advanced Options below), x anaerobic fraction x adjustment factor</t>
  </si>
  <si>
    <t>CH4 Produced (gross, before oxidation)</t>
  </si>
  <si>
    <t>kg CH4</t>
  </si>
  <si>
    <t>Formula: CH4-C x (16/12)</t>
  </si>
  <si>
    <t>CH4 Emitted (after oxidation, modelled)</t>
  </si>
  <si>
    <t>Formula: Gross CH4 x (1 - oxidation fraction)</t>
  </si>
  <si>
    <t>CH4 Emitted (used — measured override if provided)</t>
  </si>
  <si>
    <t>CH4 CO2e</t>
  </si>
  <si>
    <t>N2O Calculation</t>
  </si>
  <si>
    <t>N2O Emission (modelled)</t>
  </si>
  <si>
    <t>kg N2O</t>
  </si>
  <si>
    <t>Formula: Nitrogen lost x N2O-N EF% x (44/28)</t>
  </si>
  <si>
    <t>N2O Emission (used — measured override if provided)</t>
  </si>
  <si>
    <t>N2O CO2e</t>
  </si>
  <si>
    <t>Lime &amp; Fertilizer Emissions (optional — set inputs to 0 if not applied)</t>
  </si>
  <si>
    <t>Agricultural Lime Applied</t>
  </si>
  <si>
    <t>Set to 0 if lime is not used</t>
  </si>
  <si>
    <t>Lime Emission Factor</t>
  </si>
  <si>
    <t>tCO2/t lime</t>
  </si>
  <si>
    <t>IPCC 2019 Refinement to the 2006 Guidelines, AFOLU Vol. 4, Ch. 11 — Tier 1 default for calcitic limestone</t>
  </si>
  <si>
    <t>Synthetic Fertilizer Nitrogen Applied</t>
  </si>
  <si>
    <t>kg N/crop</t>
  </si>
  <si>
    <t>Most pond systems rely on feed/organic nitrogen only — set to 0 if no fertilizer is applied</t>
  </si>
  <si>
    <t>Direct N2O-N Emission Factor for Fertilizer N</t>
  </si>
  <si>
    <t>IPCC Tier 1 default EF1 = 1% of applied N emitted as N2O-N</t>
  </si>
  <si>
    <t>Lime &amp; Fertilizer CO2e Calculation</t>
  </si>
  <si>
    <t>Lime CO2e</t>
  </si>
  <si>
    <t>Formula: Lime (t) x Lime EF</t>
  </si>
  <si>
    <t>Fertilizer N2O Emission</t>
  </si>
  <si>
    <t>Formula: Fertilizer N x EF1 x (44/28)</t>
  </si>
  <si>
    <t>Fertilizer N2O CO2e</t>
  </si>
  <si>
    <t>Uses the GWP-N2O constant above</t>
  </si>
  <si>
    <t>TOTAL LIME &amp; FERTILIZER CO2e</t>
  </si>
  <si>
    <t>Advanced Options (v2.3)</t>
  </si>
  <si>
    <t>GWP Standard</t>
  </si>
  <si>
    <t>Synced from Dashboard Section A — edit the toggle there, not here</t>
  </si>
  <si>
    <t>Anaerobic Fraction Adjustment Factor</t>
  </si>
  <si>
    <t>Editable 0.8-1.5 — use &gt;1.0 for warmer water/higher organic loading than the baseline assumption, &lt;1.0 for cooler/lower-loading conditions</t>
  </si>
  <si>
    <t>N2O-N EF Preset</t>
  </si>
  <si>
    <t>Custom</t>
  </si>
  <si>
    <t>0.71% / 1.8% / Custom</t>
  </si>
  <si>
    <t>0.71% and 1.8% reflect the published low/high range of feed-N-based N2O emission factors; choose Custom to use the value below</t>
  </si>
  <si>
    <t>Custom N2O-N EF (used if preset = Custom)</t>
  </si>
  <si>
    <t>Only used when the preset above is set to Custom</t>
  </si>
  <si>
    <t>Sediment Carbon Burial &amp; Pond Idle/Drying Phase (v3.0)</t>
  </si>
  <si>
    <t>Sediment Carbon Burial / Sequestration Fraction</t>
  </si>
  <si>
    <t>Editable 10-30%. Fraction of carbon lost to the pond that is permanently buried in deep sediment rather than entering the active anaerobic decomposition pool — this is netted out of the CH4 calculation below, distinct from the informational sequestration estimate on Carbon Accounting.</t>
  </si>
  <si>
    <t>Pond Idle / Sun-Drying Period Duration</t>
  </si>
  <si>
    <t>days/crop</t>
  </si>
  <si>
    <t>Time between harvest and the next stocking when the pond bottom is exposed and oxidizing</t>
  </si>
  <si>
    <t>Idle Phase Emission Factor (combined CO2 + N2O)</t>
  </si>
  <si>
    <t>kgCO2e/ha/day</t>
  </si>
  <si>
    <t>Illustrative placeholder for pond-bottom oxidation during the dry/idle phase — needs literature/field validation; not a substitute for measured flux</t>
  </si>
  <si>
    <t>Idle Phase CO2e</t>
  </si>
  <si>
    <t>Formula: Pond area x Idle days x Idle EF / 1000</t>
  </si>
  <si>
    <t>Water Quality Lab Report Log (v3.1) — optional, matches a standard regional aqua lab report</t>
  </si>
  <si>
    <t>Log the key fields from each periodic aqua lab water report here. pH and DO are direct health/DO-budget indicators; H2S and DO together set the Anaerobic Fraction above (see the note on that row). Total Ammonia-N is a rough cross-check against the nitrogen mass balance in the Feed Emission Model.</t>
  </si>
  <si>
    <t>Report Date</t>
  </si>
  <si>
    <t>pH</t>
  </si>
  <si>
    <t>Dissolved Oxygen
(ppm)</t>
  </si>
  <si>
    <t>Total Ammonia-N
(ppm)</t>
  </si>
  <si>
    <t>H2S
(Nil / Detected)</t>
  </si>
  <si>
    <t>Salinity
(ppt)</t>
  </si>
  <si>
    <t>Lab / Notes</t>
  </si>
  <si>
    <t>Aeration inputs are only relevant if the selected species requires aeration (see Dashboard Section B).</t>
  </si>
  <si>
    <t>Aeration Reference (from Dashboard)</t>
  </si>
  <si>
    <t>Aeration Required for Selected Species</t>
  </si>
  <si>
    <t>Yes/No</t>
  </si>
  <si>
    <t>Mechanical Aeration Inputs</t>
  </si>
  <si>
    <t>Paddlewheel Aerator Capacity</t>
  </si>
  <si>
    <t>HP per unit</t>
  </si>
  <si>
    <t>Number of Paddlewheel Units</t>
  </si>
  <si>
    <t>units</t>
  </si>
  <si>
    <t>Set to 0 if aeration not required</t>
  </si>
  <si>
    <t>Paddlewheel Operating Hours</t>
  </si>
  <si>
    <t>hours/day</t>
  </si>
  <si>
    <t>Blower Capacity</t>
  </si>
  <si>
    <t>kW total</t>
  </si>
  <si>
    <t>Shrimp systems only; set 0 for fish ponds</t>
  </si>
  <si>
    <t>Blower Operating Hours</t>
  </si>
  <si>
    <t>Fuel &amp; Grid Electricity Inputs</t>
  </si>
  <si>
    <t>Diesel Used (pumps/water exchange)</t>
  </si>
  <si>
    <t>L/crop</t>
  </si>
  <si>
    <t>Generator Diesel (backup power)</t>
  </si>
  <si>
    <t>Grid Electricity Purchased</t>
  </si>
  <si>
    <t>kWh/crop</t>
  </si>
  <si>
    <t>Excluding paddlewheel/blower already captured above</t>
  </si>
  <si>
    <t>Solar Offset</t>
  </si>
  <si>
    <t>Solar generation reducing grid draw</t>
  </si>
  <si>
    <t>Emission Factors (editable)</t>
  </si>
  <si>
    <t>Diesel Emission Factor</t>
  </si>
  <si>
    <t>kgCO2e/L</t>
  </si>
  <si>
    <t>Grid Electricity Emission Factor</t>
  </si>
  <si>
    <t>kgCO2e/kWh</t>
  </si>
  <si>
    <t>CEA CO2 Baseline Database, Version 21.0 (Nov 2025, FY2024-25 weighted average) — verify current version at time of use</t>
  </si>
  <si>
    <t>Energy CO2e Calculation</t>
  </si>
  <si>
    <t>Paddlewheel Energy Demand</t>
  </si>
  <si>
    <t>Formula: HP x 0.746 x units x hours</t>
  </si>
  <si>
    <t>Blower Energy Demand</t>
  </si>
  <si>
    <t>Total Electricity Demand</t>
  </si>
  <si>
    <t>Formula: Paddlewheel + Blower + Grid - Solar offset</t>
  </si>
  <si>
    <t>Electricity CO2e</t>
  </si>
  <si>
    <t>Diesel CO2e</t>
  </si>
  <si>
    <t>TOTAL ENERGY CO2e</t>
  </si>
  <si>
    <t>Generator Efficiency &amp; Solar Sizing Guidance (v2.3, informational)</t>
  </si>
  <si>
    <t>Generator Fuel Efficiency</t>
  </si>
  <si>
    <t>kWh output per L diesel</t>
  </si>
  <si>
    <t>Typical diesel genset range: 3-4 kWh/L. Informational only — diesel CO2e above is already calculated directly from liters burned, not from this figure.</t>
  </si>
  <si>
    <t>Generator Electrical Output (informational)</t>
  </si>
  <si>
    <t>Formula: Generator diesel (L) x efficiency — shows what the generator is delivering, does not change CO2e</t>
  </si>
  <si>
    <t>Solar offset sizing guidance: a 1 kWp rooftop/ground-mount solar installation typically generates roughly 4-5 kWh/day in most of India (more in Andhra Pradesh/Rajasthan-type high-irradiance zones, less in the monsoon season or cloudy regions). For a 200-day crop, a 1 kWp system installed for the full cycle could offset on the order of 800-1,000 kWh — size the Solar Offset input above against your actual installed capacity and crop duration rather than guessing.</t>
  </si>
  <si>
    <t>Species Aeration Defaults (v3.0) — auto-fills the aeration inputs above when Culture Type changes</t>
  </si>
  <si>
    <t>Paddlewheel Units, Paddlewheel Hours, Blower Capacity and Blower Hours above are FORMULAS reading the row matching the current Culture Type below. Type your own number directly into any of those cells to override; your value replaces the formula and stops auto-syncing for that cell.</t>
  </si>
  <si>
    <t>Paddlewheel
Units</t>
  </si>
  <si>
    <t>Paddlewheel
Hours/day</t>
  </si>
  <si>
    <t>Blower
Capacity (kW)</t>
  </si>
  <si>
    <t>Blower
Hours/day</t>
  </si>
  <si>
    <t>Note</t>
  </si>
  <si>
    <t>No aeration required</t>
  </si>
  <si>
    <t>Paddlewheel only</t>
  </si>
  <si>
    <t>Intensive — near-continuous aeration</t>
  </si>
  <si>
    <t>Semi-intensive</t>
  </si>
  <si>
    <t>Baseline-crop cost and income. Pairs with Carbon Accounting so the farm can see cost per kg alongside CO2e per kg.</t>
  </si>
  <si>
    <t>From Harvest Schedule</t>
  </si>
  <si>
    <t>From Energy Module</t>
  </si>
  <si>
    <t>Total Diesel Used</t>
  </si>
  <si>
    <t>Price &amp; Cost Inputs (editable — enter current local prices)</t>
  </si>
  <si>
    <t>Feed Price</t>
  </si>
  <si>
    <t>Rs/kg</t>
  </si>
  <si>
    <t>Blended average across feed stages used</t>
  </si>
  <si>
    <t>Electricity Tariff</t>
  </si>
  <si>
    <t>Rs/kWh</t>
  </si>
  <si>
    <t>Agricultural/commercial tariff as applicable</t>
  </si>
  <si>
    <t>Diesel Price</t>
  </si>
  <si>
    <t>Rs/L</t>
  </si>
  <si>
    <t>Labour Cost</t>
  </si>
  <si>
    <t>Rs/crop</t>
  </si>
  <si>
    <t>Wages for the crop cycle</t>
  </si>
  <si>
    <t>Probiotics &amp; Soil/Water Amendments Cost</t>
  </si>
  <si>
    <t>Seed Price</t>
  </si>
  <si>
    <t>Rs/piece (fingerling or PL)</t>
  </si>
  <si>
    <t>Other Costs (lime, lease, misc.)</t>
  </si>
  <si>
    <t>Farm-Gate Sale Price</t>
  </si>
  <si>
    <t>Cost Calculation</t>
  </si>
  <si>
    <t>Formula: Feed (kg) x Feed price</t>
  </si>
  <si>
    <t>Seed Cost</t>
  </si>
  <si>
    <t>Formula: Stocked number x Seed price</t>
  </si>
  <si>
    <t>TOTAL COST</t>
  </si>
  <si>
    <t>Formula: Feed + Electricity + Diesel + Seed + Labour + Probiotics + Other</t>
  </si>
  <si>
    <t>Income &amp; Profitability</t>
  </si>
  <si>
    <t>Gross Income</t>
  </si>
  <si>
    <t>Formula: Total production x Sale price</t>
  </si>
  <si>
    <t>NET PROFIT</t>
  </si>
  <si>
    <t>Cost per kg Production</t>
  </si>
  <si>
    <t>Profit per kg Production</t>
  </si>
  <si>
    <t>Carbon-Economics Link</t>
  </si>
  <si>
    <t>Net Profit per tCO2e Reduced (Improved vs. Baseline)</t>
  </si>
  <si>
    <t>Rs/tCO2e</t>
  </si>
  <si>
    <t>Illustrates the cost-effectiveness case for carbon finance discussions</t>
  </si>
  <si>
    <t>Annual Rollup (Multi-Crop)</t>
  </si>
  <si>
    <t>Crops per Year</t>
  </si>
  <si>
    <t>From Dashboard</t>
  </si>
  <si>
    <t>Annual Production</t>
  </si>
  <si>
    <t>kg/yr</t>
  </si>
  <si>
    <t>Annual Total Cost</t>
  </si>
  <si>
    <t>Rs/yr</t>
  </si>
  <si>
    <t>Annual Gross Income</t>
  </si>
  <si>
    <t>ANNUAL NET PROFIT</t>
  </si>
  <si>
    <t>Select (Yes/No) the management changes to be applied. Effect sizes are editable, literature-informed defaults — replace with trial data where available.</t>
  </si>
  <si>
    <t>Management Measures</t>
  </si>
  <si>
    <t>Measure</t>
  </si>
  <si>
    <t>Apply?
(Yes/No)</t>
  </si>
  <si>
    <t>FCR Improvement
Effect</t>
  </si>
  <si>
    <t>Anaerobic Fraction
Reduction Effect</t>
  </si>
  <si>
    <t>Other Effect</t>
  </si>
  <si>
    <t>Better Feed (quality/formulation)</t>
  </si>
  <si>
    <t>Also reduces feed manufacturing EF by ~5% (higher-quality ingredient sourcing)</t>
  </si>
  <si>
    <t>Water Probiotics</t>
  </si>
  <si>
    <t>Improves water-column DO stability</t>
  </si>
  <si>
    <t>Soil Probiotics</t>
  </si>
  <si>
    <t>Bioremediates benthic organic load</t>
  </si>
  <si>
    <t>Better Aeration</t>
  </si>
  <si>
    <t>Reduces anaerobic fraction but increases energy CO2e by ~10%</t>
  </si>
  <si>
    <t>Water Quality Management (DO/Secchi monitoring)</t>
  </si>
  <si>
    <t>Reduces N2O-N emission factor by ~20%</t>
  </si>
  <si>
    <t>Combined Effects (multiplicative — avoids double-counting)</t>
  </si>
  <si>
    <t>Combined FCR Improvement</t>
  </si>
  <si>
    <t>Combines all measures marked Yes (multiplicative, not additive)</t>
  </si>
  <si>
    <t>Combined Anaerobic Fraction Reduction</t>
  </si>
  <si>
    <t>Feed Manufacturing EF Reduction (if Better Feed applied)</t>
  </si>
  <si>
    <t>Combined N2O-N EF Reduction (Water Quality Management + C/N Ratio Management)</t>
  </si>
  <si>
    <t>Energy CO2e Increase (if Better Aeration applied)</t>
  </si>
  <si>
    <t>Improved Scenario — Recalculated Totals</t>
  </si>
  <si>
    <t>Improved FCR</t>
  </si>
  <si>
    <t>Improved Total Feed Required</t>
  </si>
  <si>
    <t>Formula: Baseline feed scaled by FCR ratio</t>
  </si>
  <si>
    <t>Improved Feed Manufacturing EF</t>
  </si>
  <si>
    <t>Improved Feed Production Scope 3 CO2e</t>
  </si>
  <si>
    <t>Improved Carbon Lost to Pond</t>
  </si>
  <si>
    <t>Improved Anaerobic Fraction</t>
  </si>
  <si>
    <t>Improved CH4 Emitted (after oxidation)</t>
  </si>
  <si>
    <t>Improved CH4 CO2e</t>
  </si>
  <si>
    <t>Improved Nitrogen Lost to Pond</t>
  </si>
  <si>
    <t>Improved N2O-N EF</t>
  </si>
  <si>
    <t>Improved N2O Emission</t>
  </si>
  <si>
    <t>Improved N2O CO2e</t>
  </si>
  <si>
    <t>Improved Energy CO2e</t>
  </si>
  <si>
    <t>Additional Measures (v2.3)</t>
  </si>
  <si>
    <t>N2O-N EF
Reduction Effect</t>
  </si>
  <si>
    <t>Optimized Feeding Timing (match feeding to DO/metabolic peaks)</t>
  </si>
  <si>
    <t>Small feed-efficiency gain from feeding when dissolved oxygen and metabolic rate are highest</t>
  </si>
  <si>
    <t>C/N Ratio Management (carbon source dosing, e.g. molasses/tapioca)</t>
  </si>
  <si>
    <t>Biofloc-style heterotrophic bacterial nitrogen immobilization reduces both anaerobic sediment loading and the nitrification-denitrification N2O pathway</t>
  </si>
  <si>
    <t>Carbon Accounting — Baseline vs. Improved</t>
  </si>
  <si>
    <t>Component</t>
  </si>
  <si>
    <t>Baseline</t>
  </si>
  <si>
    <t>Improved</t>
  </si>
  <si>
    <t>Unit</t>
  </si>
  <si>
    <t>Source</t>
  </si>
  <si>
    <t>Feed Production CO2e</t>
  </si>
  <si>
    <t>Feed Emission Model / Improved Scenario</t>
  </si>
  <si>
    <t>Energy Module (assumed unchanged unless aeration measure adjusts pumping)</t>
  </si>
  <si>
    <t>Pond Emission Model / Improved Scenario</t>
  </si>
  <si>
    <t>GROSS EMISSION</t>
  </si>
  <si>
    <t>Carbon Stored in Harvested Biomass (netted out of pond-boundary footprint)</t>
  </si>
  <si>
    <t>Carbon Content of Harvested Biomass (wet weight)</t>
  </si>
  <si>
    <t>Typical range 6-10% wet weight for finfish/shrimp tissue</t>
  </si>
  <si>
    <t>Total Production (Baseline, from Harvest Schedule)</t>
  </si>
  <si>
    <t>Carbon Stored in Biomass (CO2e)</t>
  </si>
  <si>
    <t>Formula: Production x C content x (44/12) / 1000 — carbon leaving the pond boundary in product, not a permanent sequestration claim</t>
  </si>
  <si>
    <t>Net Emission &amp; Intensity</t>
  </si>
  <si>
    <t>Net Emission — Baseline</t>
  </si>
  <si>
    <t>Net Emission — Improved</t>
  </si>
  <si>
    <t>Assumes same production — refine if improved FCR also changes yield</t>
  </si>
  <si>
    <t>Emission Intensity — Baseline</t>
  </si>
  <si>
    <t>Emission Intensity — Improved</t>
  </si>
  <si>
    <t>Lime, Fertilizer &amp; Idle-Phase CO2e (included in Gross Emission above)</t>
  </si>
  <si>
    <t>Assumed equal in Baseline and Improved scenarios unless lime/fertilizer use is deliberately changed</t>
  </si>
  <si>
    <t>Optional: Sediment Organic Carbon Accumulation (NOT included in Net Emission above)</t>
  </si>
  <si>
    <t>CAVEAT: this estimates carbon accumulating in pond sediment as a potential removal, separate from the avoided-emissions figures above. It is NOT verified as permanent — sediment can be resuspended, dredged, or mineralized on pond renovation — so it is deliberately excluded from Gross/Net Emission and the Carbon Reduction Summary. Note: unlike redox potential, Soil Organic Carbon (SOC), Total Nitrogen and C:N ratio ARE routinely tested by regional soil labs for IMC ponds (see the Soil Test Log below) — use repeat SOC% readings over successive years, converted with bulk density and sampling depth, to replace the illustrative rate below with a real site-specific figure before treating this as anything more than informational.</t>
  </si>
  <si>
    <t>Estimated Sediment Organic Carbon Accumulation Rate</t>
  </si>
  <si>
    <t>t C/ha/yr</t>
  </si>
  <si>
    <t>Illustrative literature range for pond systems is roughly 0.1-0.5 t C/ha/yr — highly site- and management-dependent</t>
  </si>
  <si>
    <t>Estimated Sediment Carbon Sequestration (informational only)</t>
  </si>
  <si>
    <t>Formula: Rate x Pond area x (44/12) — NOT netted into Net Emission or Carbon Reduction Summary</t>
  </si>
  <si>
    <t>Edible-Yield Emission Intensity</t>
  </si>
  <si>
    <t>Edible Yield Fraction</t>
  </si>
  <si>
    <t>Share of live/whole production that is edible product after dressing/processing losses — adjust per species and market form</t>
  </si>
  <si>
    <t>Edible Production</t>
  </si>
  <si>
    <t>Formula: Total production x Edible yield fraction</t>
  </si>
  <si>
    <t>Emission Intensity per kg Edible Yield — Baseline</t>
  </si>
  <si>
    <t>kgCO2e/kg edible</t>
  </si>
  <si>
    <t>Emission Intensity per kg Edible Yield — Improved</t>
  </si>
  <si>
    <t>Soil Test Log (v3.2) — matches routine IMC pond soil testing</t>
  </si>
  <si>
    <t>Confirmed field-testable parameters for IMC ponds: Soil Organic Carbon (SOC), Total Nitrogen, C:N ratio, CEC and Potassium are tested routinely; micronutrients (Fe, B, Zn, Mg) occasionally. Log results here each testing round — SOC% and C:N feed the sequestration estimate above and the nitrogen mass balance context; CEC/K/micronutrients are for pond fertility record-keeping.</t>
  </si>
  <si>
    <t>Test Date</t>
  </si>
  <si>
    <t>Soil Organic
Carbon (%)</t>
  </si>
  <si>
    <t>Total N
(%)</t>
  </si>
  <si>
    <t>C:N Ratio</t>
  </si>
  <si>
    <t>CEC
(meq/100g)</t>
  </si>
  <si>
    <t>Potassium (K)
(kg/ha)</t>
  </si>
  <si>
    <t>Fe / B / Zn / Mg
(if tested)</t>
  </si>
  <si>
    <t>Carbon Reduction Summary</t>
  </si>
  <si>
    <t>Traditional vs. Improved Farm</t>
  </si>
  <si>
    <t>Traditional Farm Net Emission</t>
  </si>
  <si>
    <t>Improved Farm Net Emission</t>
  </si>
  <si>
    <t>Reduction &amp; Carbon Credit Potential</t>
  </si>
  <si>
    <t>CO2e Reduction per Crop</t>
  </si>
  <si>
    <t>% Reduction vs. Traditional</t>
  </si>
  <si>
    <t>Potential Carbon Credit Equivalent per Year</t>
  </si>
  <si>
    <t>Potential Carbon Credit Equivalent per Hectare per Year</t>
  </si>
  <si>
    <t>tCO2e/ha/yr</t>
  </si>
  <si>
    <t>Screening-level estimate. Not a certified carbon credit figure — see Concept Note for MRV and methodology-pathway requirements before using this number in a funding submission or credit claim.</t>
  </si>
  <si>
    <t>First-order approximate sensitivity — each block varies ONE driver at a time (FCR, Survival, Energy use, Anaerobic Fraction) around the baseline while holding everything else fixed, using the proportional relationships already in the model. This is a screening tool to show direction and rough magnitude, NOT a full re-simulation of the Growth Model, NOT a joint/combined-driver analysis, and NOT a substitute for measured field data. Real farm outcomes will differ, especially where drivers interact (e.g., FCR and survival both changing together). Treat results directionally and revisit with site-specific data before using in any external submission.</t>
  </si>
  <si>
    <t>A. FCR Sensitivity (feed-driven emissions and cost scale with FCR)</t>
  </si>
  <si>
    <t>Scenario</t>
  </si>
  <si>
    <t>% Change</t>
  </si>
  <si>
    <t>Driver Value</t>
  </si>
  <si>
    <t>Feed / Production
(kg)</t>
  </si>
  <si>
    <t>Net Emission
(tCO2e)</t>
  </si>
  <si>
    <t>Emission Intensity
(kgCO2e/kg)</t>
  </si>
  <si>
    <t>Net Profit
(Rs)</t>
  </si>
  <si>
    <t>Δ Net Profit
vs. Base (Rs)</t>
  </si>
  <si>
    <t>-20%</t>
  </si>
  <si>
    <t>-10%</t>
  </si>
  <si>
    <t>Base</t>
  </si>
  <si>
    <t>+10%</t>
  </si>
  <si>
    <t>+20%</t>
  </si>
  <si>
    <t>B. Survival Sensitivity (production and feed scale with survival)</t>
  </si>
  <si>
    <t>C. Energy Use Sensitivity (electricity + diesel demand scale; production/feed unchanged)</t>
  </si>
  <si>
    <t>D. Anaerobic Fraction Sensitivity (pond DO/redox management driver; production and feed unchanged)</t>
  </si>
  <si>
    <t>Note: Anaerobic Fraction has no direct cost linkage in this model (it affects CH4 emissions only, not feed or energy spend), so Net Profit is shown flat across this block — the value of managing it shows up entirely in the emissions columns, not the profit column.</t>
  </si>
  <si>
    <t>Printable Farm GHG &amp; Carbon Reduction Report</t>
  </si>
  <si>
    <t>Auto-generated from Dashboard, Carbon Accounting and Carbon Reduction Summary. Print this sheet for a one-page farm summary.</t>
  </si>
  <si>
    <t>Farm Summary</t>
  </si>
  <si>
    <t>Production &amp; Feed Summary</t>
  </si>
  <si>
    <t>GHG Inventory (Baseline)</t>
  </si>
  <si>
    <t>Gross Emission</t>
  </si>
  <si>
    <t>Carbon Stored in Biomass</t>
  </si>
  <si>
    <t>Emission Intensity</t>
  </si>
  <si>
    <t>Carbon Reduction Potential</t>
  </si>
  <si>
    <t>Potential Carbon Credit Equivalent</t>
  </si>
  <si>
    <t>Recommendations</t>
  </si>
  <si>
    <t>• Validate species and feed defaults against actual farm records before external submission.</t>
  </si>
  <si>
    <t>• Collect one full monitored crop cycle of DO, redox and sediment organic carbon data (see accompanying Data Collection Checklist).</t>
  </si>
  <si>
    <t>• Where feasible, obtain floating-chamber CH4/N2O flux measurements and enter them as overrides in the Pond Emission Model.</t>
  </si>
  <si>
    <t>• Treat the Carbon Reduction figure as a screening estimate until validated under a recognized MRV/methodology pathway.</t>
  </si>
  <si>
    <t>Scientific Database &amp; References</t>
  </si>
  <si>
    <t>Every default value used in this workbook, with its citation. Where a range is cited, the workbook uses the midpoint or a conservative value — always check the current edition/version before a formal submission.</t>
  </si>
  <si>
    <t>Parameter / Default</t>
  </si>
  <si>
    <t>Value Used</t>
  </si>
  <si>
    <t>Citation</t>
  </si>
  <si>
    <t>Notes</t>
  </si>
  <si>
    <t>GWP - CH4 (100-yr)</t>
  </si>
  <si>
    <t>28</t>
  </si>
  <si>
    <t>IPCC Fifth Assessment Report (AR5), WG1, Ch. 8, 2013</t>
  </si>
  <si>
    <t>AR6 (2021) alternative: 27 (non-fossil) to 29.8 (fossil) — update if the target scheme requires AR6.</t>
  </si>
  <si>
    <t>GWP - N2O (100-yr)</t>
  </si>
  <si>
    <t>265</t>
  </si>
  <si>
    <t>AR6 (2021) alternative: 273.</t>
  </si>
  <si>
    <t>Nitrogen retention in harvested biomass</t>
  </si>
  <si>
    <t>25%</t>
  </si>
  <si>
    <t>Avnimelech &amp; Lacher (1979); Avnimelech (1998); reviewed in Avnimelech, Y. (2009), ‘Biofloc Technology – A Practical Guide Book’, World Aquaculture Society</t>
  </si>
  <si>
    <t>Published pond nitrogen budgets report 11-27% N recovery in harvest for intensive ponds and 5-25% for semi-intensive/traditional carp systems — 25% is a mid-range default for polyculture; recalibrate per system.</t>
  </si>
  <si>
    <t>Carbon retention in harvested biomass</t>
  </si>
  <si>
    <t>22%</t>
  </si>
  <si>
    <t>Avnimelech &amp; Lacher (1979); Boyd, C.E. (1995), ‘Bottom Soils, Sediment, and Pond Aquaculture’, Chapman &amp; Hall</t>
  </si>
  <si>
    <t>Reported organic carbon recovery in harvest ranges roughly 20-65% depending on system intensity; 22% reflects a semi-intensive/extensive carp-type system — recalibrate per system.</t>
  </si>
  <si>
    <t>N2O-N emission factor</t>
  </si>
  <si>
    <t>0.8% of nitrogen lost to pond</t>
  </si>
  <si>
    <t>Field/meta-analysis studies of aquaculture pond N2O flux (e.g., Hu et al.; Yang et al., published aquaculture N2O flux literature)</t>
  </si>
  <si>
    <t>Reported range is approximately 0.36-0.77% of total feed nitrogen input; applied here to the nitrogen-lost (post-retention) pool for internal consistency with the carbon mass balance — site verification recommended.</t>
  </si>
  <si>
    <t>CH4 oxidation fraction</t>
  </si>
  <si>
    <t>Wetland/pond methane oxidation literature (general finding that a meaningful share of benthic CH4 is re-oxidized to CO2 in the oxic water column before reaching the atmosphere)</t>
  </si>
  <si>
    <t>Site-specific; refine with paired sediment-flux and surface-flux chamber measurements rather than relying on the default.</t>
  </si>
  <si>
    <t>Baseline anaerobic fraction of carbon lost to pond</t>
  </si>
  <si>
    <t>20%</t>
  </si>
  <si>
    <t>Boyd, C.E. (1995), ‘Bottom Soils, Sediment, and Pond Aquaculture’; Boyd, C.E. &amp; Tucker, C.S. (1998), ‘Pond Aquaculture Water Quality Management’, Kluwer</t>
  </si>
  <si>
    <t>Represents a pond with dawn DO consistently below 3 mg/L or sediment redox below -100 mV — calibrate from field DO/redox logging, not from this default alone.</t>
  </si>
  <si>
    <t>Carbon content of harvested biomass</t>
  </si>
  <si>
    <t>8% wet weight</t>
  </si>
  <si>
    <t>General fish/shrimp tissue proximate composition literature (typical 6-10% wet-weight carbon)</t>
  </si>
  <si>
    <t>Varies by species and fat content; refine with species-specific proximate analysis if available.</t>
  </si>
  <si>
    <t>Grid electricity emission factor</t>
  </si>
  <si>
    <t>0.710 kgCO2e/kWh</t>
  </si>
  <si>
    <t>Central Electricity Authority (CEA), Government of India, CO2 Baseline Database for the Indian Power Sector, Version 21.0 (Nov 2025), FY2024-25 weighted average</t>
  </si>
  <si>
    <t>CEA updates this annually (Version 20.0 gave 0.727 kgCO2e/kWh for FY2023-24) — always use the version matching your reporting year, per CEA/BEE/CCTS guidance.</t>
  </si>
  <si>
    <t>Diesel emission factor</t>
  </si>
  <si>
    <t>3.0 kgCO2e/L</t>
  </si>
  <si>
    <t>Standard Scope 1 mobile/stationary diesel combustion factor (consistent with IPCC default diesel calorific value x emission factor conversions)</t>
  </si>
  <si>
    <t>Cross-check against the latest India-specific or IPCC Emission Factor Database value if precision matters.</t>
  </si>
  <si>
    <t>Feed manufacturing emission factors</t>
  </si>
  <si>
    <t>0.4-3.0 kgCO2e/kg depending on ingredient/species</t>
  </si>
  <si>
    <t>Aquaculture feed LCA literature (e.g., published feed carbon footprint studies for plant-based agri-byproducts vs. marine-ingredient-inclusive shrimp feeds)</t>
  </si>
  <si>
    <t>Plant-based agri-byproducts (DOB, GNC) sit at the low end; marine-ingredient-inclusive shrimp feeds at the high end. Confirm against actual feed mill/supplier Environmental Product Declarations where possible.</t>
  </si>
  <si>
    <t>Improvement measure effect sizes (FCR, anaerobic fraction, N2O EF)</t>
  </si>
  <si>
    <t>2-40% depending on measure</t>
  </si>
  <si>
    <t>Aggregated indicative values from published probiotic, aeration and water-quality management trial literature (aquaculture-specific)</t>
  </si>
  <si>
    <t>Combined multiplicatively (not additively) in the Improved Farming Scenario sheet to avoid double-counting. Replace with on-farm trial results as they become available.</t>
  </si>
  <si>
    <t>IMC species/growth parameters (v2.1)</t>
  </si>
  <si>
    <t>6,250/ha; 150 g stocking; 1/1.5 kg partial/final harvest; FCR 3.0/2.5</t>
  </si>
  <si>
    <t>Farm-reported practice (Andhra Pradesh polyculture) — supplied by the tool's primary user/reviewer</t>
  </si>
  <si>
    <t>Culture duration (240 days) is an editable estimate pending confirmation of actual days-to-harvest for this stocking weight.</t>
  </si>
  <si>
    <t>Pangasius, Red Pacu, P. vannamei, P. monodon species/growth parameters</t>
  </si>
  <si>
    <t>See Species Database sheet</t>
  </si>
  <si>
    <t>Illustrative defaults reflecting common Indian aquaculture practice — not yet validated against farm records</t>
  </si>
  <si>
    <t>Must be replaced with actual farm records before use in any funding or credit submission. Priority item for the next revision.</t>
  </si>
  <si>
    <t>General GHG accounting framework</t>
  </si>
  <si>
    <t>Feed-input-driven carbon/nitrogen mass balance</t>
  </si>
  <si>
    <t>FAO Fisheries and Aquaculture Technical Papers on environmental performance of aquaculture; IPCC Guidelines for National GHG Inventories (AFOLU sector, adapted)</t>
  </si>
  <si>
    <t>No IPCC/FAO methodology is aquaculture-pond-specific yet — this workbook adapts general wetland/agricultural GHG accounting logic to a pond mass-balance structure.</t>
  </si>
  <si>
    <t>De-oiled rice bran composition (Protein 16.9%, Fat 1.5%, Fibre 9.6%)</t>
  </si>
  <si>
    <t>16.9% / 1.5% / 9.6%</t>
  </si>
  <si>
    <t>NIR spectroscopy + compositional analysis of rice bran and de-oiled rice bran (published composition study, two-batch mean ± SD)</t>
  </si>
  <si>
    <t>Replaces the earlier generic default (16% / 2% / 12%) in the Feed Database with lab-measured values. Carbon % (38%, used in the model) is a component-based estimate bracketed 28-41% depending on ash share of the unclassified ‘Other’ fraction — not itself lab-measured.</t>
  </si>
  <si>
    <t>Empirical IMC feeding-rate table and implied FCR cross-check</t>
  </si>
  <si>
    <t>Combo (sinking+DOB) ~2.3; Floating feed only ~1.3</t>
  </si>
  <si>
    <t>Field Survey (2010), published IMC feeding-rate-by-body-weight table (kg body weight vs. %BW/day feeding rate, sinking pellet+DOB vs. floating feed)</t>
  </si>
  <si>
    <t>Informational cross-check only, in Growth &amp; Feed Model. Notably lower than the farm-reported 3.0 average FCR used elsewhere in this workbook — the gap likely reflects real-world feed wastage and water-quality losses not captured in an idealized survey table; farm-reported FCR remains the primary driver.</t>
  </si>
  <si>
    <t>Pond soil test parameters (SOC, Total N, C:N, CEC, K; occasional Fe/B/Zn/Mg)</t>
  </si>
  <si>
    <t>See Soil Test Log, Carbon Accounting sheet</t>
  </si>
  <si>
    <t>Confirmed routine regional soil-testing practice for IMC ponds (farmer-supplied field information)</t>
  </si>
  <si>
    <t>Confirms SOC%, Total N% and C:N ratio ARE realistically obtainable via routine lab testing, unlike sediment redox potential. Should be used to replace the illustrative Sediment Carbon Accumulation Rate default with repeat site-specific readings over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</si>
</sst>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
    <numFmt numFmtId="166" formatCode="0.0000"/>
    <numFmt numFmtId="167" formatCode="#,##0.0"/>
    <numFmt numFmtId="168" formatCode="0.0"/>
  </numFmts>
  <fonts count="20" x14ac:knownFonts="1">
    <font>
      <sz val="11"/>
      <color theme="1"/>
      <name val="Calibri"/>
      <family val="2"/>
      <charset val="1"/>
    </font>
    <font>
      <b/>
      <sz val="18"/>
      <color rgb="FF0B3D5C"/>
      <name val="Arial"/>
      <charset val="1"/>
    </font>
    <font>
      <i/>
      <sz val="12"/>
      <color rgb="FF0E7C7B"/>
      <name val="Arial"/>
      <charset val="1"/>
    </font>
    <font>
      <b/>
      <sz val="12"/>
      <color rgb="FF0B3D5C"/>
      <name val="Arial"/>
      <charset val="1"/>
    </font>
    <font>
      <sz val="10"/>
      <color rgb="FF222222"/>
      <name val="Arial"/>
      <charset val="1"/>
    </font>
    <font>
      <b/>
      <sz val="10"/>
      <color rgb="FF0B3D5C"/>
      <name val="Arial"/>
      <charset val="1"/>
    </font>
    <font>
      <b/>
      <sz val="16"/>
      <color rgb="FF0B3D5C"/>
      <name val="Arial"/>
      <charset val="1"/>
    </font>
    <font>
      <b/>
      <sz val="10"/>
      <color rgb="FFFFFFFF"/>
      <name val="Arial"/>
      <charset val="1"/>
    </font>
    <font>
      <b/>
      <sz val="10"/>
      <color rgb="FF000000"/>
      <name val="Arial"/>
      <charset val="1"/>
    </font>
    <font>
      <sz val="10"/>
      <name val="Arial"/>
      <charset val="1"/>
    </font>
    <font>
      <i/>
      <sz val="8.5"/>
      <color rgb="FF666666"/>
      <name val="Arial"/>
      <charset val="1"/>
    </font>
    <font>
      <b/>
      <sz val="10"/>
      <name val="Arial"/>
      <charset val="1"/>
    </font>
    <font>
      <i/>
      <sz val="9"/>
      <color rgb="FF9B2226"/>
      <name val="Arial"/>
      <charset val="1"/>
    </font>
    <font>
      <b/>
      <sz val="11"/>
      <color rgb="FFFFFFFF"/>
      <name val="Arial"/>
      <charset val="1"/>
    </font>
    <font>
      <b/>
      <sz val="10"/>
      <color rgb="FF0000FF"/>
      <name val="Arial"/>
      <charset val="1"/>
    </font>
    <font>
      <sz val="10"/>
      <color rgb="FF000000"/>
      <name val="Arial"/>
      <charset val="1"/>
    </font>
    <font>
      <b/>
      <sz val="14"/>
      <color rgb="FF0B3D5C"/>
      <name val="Arial"/>
      <charset val="1"/>
    </font>
    <font>
      <b/>
      <sz val="11"/>
      <color rgb="FF0B3D5C"/>
      <name val="Arial"/>
      <charset val="1"/>
    </font>
    <font>
      <i/>
      <sz val="8"/>
      <color rgb="FF666666"/>
      <name val="Arial"/>
      <charset val="1"/>
    </font>
    <font>
      <i/>
      <sz val="9"/>
      <color rgb="FF0B3D5C"/>
      <name val="Arial"/>
      <charset val="1"/>
    </font>
  </fonts>
  <fills count="7">
    <fill>
      <patternFill patternType="none"/>
    </fill>
    <fill>
      <patternFill patternType="gray125"/>
    </fill>
    <fill>
      <patternFill patternType="solid">
        <fgColor rgb="FF0B3D5C"/>
        <bgColor rgb="FF333399"/>
      </patternFill>
    </fill>
    <fill>
      <patternFill patternType="solid">
        <fgColor rgb="FFF8CBCB"/>
        <bgColor rgb="FFCCCCFF"/>
      </patternFill>
    </fill>
    <fill>
      <patternFill patternType="solid">
        <fgColor rgb="FFFFF2CC"/>
        <bgColor rgb="FFFFFFFF"/>
      </patternFill>
    </fill>
    <fill>
      <patternFill patternType="solid">
        <fgColor rgb="FFDCEFEF"/>
        <bgColor rgb="FFCCFFFF"/>
      </patternFill>
    </fill>
    <fill>
      <patternFill patternType="solid">
        <fgColor rgb="FF0E7C7B"/>
        <bgColor rgb="FF00808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90">
    <xf numFmtId="0" fontId="0" fillId="0" borderId="0" xfId="0"/>
    <xf numFmtId="0" fontId="9" fillId="0" borderId="0" xfId="0" applyFont="1" applyBorder="1" applyAlignment="1">
      <alignment vertical="center" wrapText="1"/>
    </xf>
    <xf numFmtId="0" fontId="10" fillId="0" borderId="0" xfId="0" applyFont="1" applyBorder="1" applyAlignment="1">
      <alignment wrapText="1"/>
    </xf>
    <xf numFmtId="0" fontId="11" fillId="0" borderId="1" xfId="0" applyFont="1" applyBorder="1" applyAlignment="1">
      <alignment vertical="center" wrapText="1"/>
    </xf>
    <xf numFmtId="0" fontId="10" fillId="0" borderId="0" xfId="0" applyFont="1" applyBorder="1" applyAlignment="1">
      <alignment vertical="center" wrapText="1"/>
    </xf>
    <xf numFmtId="0" fontId="16" fillId="0" borderId="0" xfId="0" applyFont="1" applyBorder="1" applyAlignment="1"/>
    <xf numFmtId="0" fontId="12" fillId="0" borderId="0" xfId="0" applyFont="1" applyBorder="1" applyAlignment="1"/>
    <xf numFmtId="0" fontId="10" fillId="0" borderId="0" xfId="0" applyFont="1" applyBorder="1" applyAlignment="1"/>
    <xf numFmtId="0" fontId="1" fillId="0" borderId="0" xfId="0" applyFont="1" applyBorder="1" applyAlignment="1"/>
    <xf numFmtId="0" fontId="3" fillId="0" borderId="0" xfId="0" applyFont="1" applyBorder="1" applyAlignment="1"/>
    <xf numFmtId="0" fontId="11" fillId="3" borderId="0" xfId="0" applyFont="1" applyFill="1" applyBorder="1" applyAlignment="1">
      <alignment horizontal="center" vertical="center"/>
    </xf>
    <xf numFmtId="0" fontId="11" fillId="0" borderId="0" xfId="0" applyFont="1" applyBorder="1" applyAlignment="1">
      <alignment horizontal="center" vertical="center" wrapText="1"/>
    </xf>
    <xf numFmtId="0" fontId="6" fillId="0" borderId="0" xfId="0" applyFont="1" applyBorder="1" applyAlignment="1"/>
    <xf numFmtId="0" fontId="0" fillId="0" borderId="0" xfId="0" applyAlignment="1"/>
    <xf numFmtId="0" fontId="1" fillId="0" borderId="0" xfId="0" applyFont="1" applyAlignment="1"/>
    <xf numFmtId="0" fontId="2" fillId="0" borderId="0" xfId="0" applyFont="1" applyAlignment="1">
      <alignment horizontal="left" vertical="center" wrapText="1"/>
    </xf>
    <xf numFmtId="0" fontId="3" fillId="0" borderId="0" xfId="0" applyFont="1" applyAlignment="1">
      <alignment horizontal="left" vertical="center" wrapText="1"/>
    </xf>
    <xf numFmtId="0" fontId="4" fillId="0" borderId="0" xfId="0" applyFont="1" applyAlignment="1">
      <alignment horizontal="left" vertical="center" wrapText="1"/>
    </xf>
    <xf numFmtId="0" fontId="5" fillId="0" borderId="0" xfId="0" applyFont="1" applyAlignment="1">
      <alignment vertical="center" wrapText="1"/>
    </xf>
    <xf numFmtId="0" fontId="7" fillId="2"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9" fillId="0" borderId="0" xfId="0" applyFont="1" applyAlignment="1">
      <alignment vertical="center" wrapText="1"/>
    </xf>
    <xf numFmtId="0" fontId="10" fillId="0" borderId="0" xfId="0" applyFont="1" applyAlignment="1">
      <alignment vertical="center" wrapText="1"/>
    </xf>
    <xf numFmtId="0" fontId="11" fillId="0" borderId="0" xfId="0" applyFont="1" applyAlignment="1">
      <alignment horizontal="center" vertical="center" wrapText="1"/>
    </xf>
    <xf numFmtId="0" fontId="13" fillId="2" borderId="0" xfId="0" applyFont="1" applyFill="1" applyAlignment="1">
      <alignment horizontal="left" vertical="center"/>
    </xf>
    <xf numFmtId="0" fontId="0" fillId="2" borderId="0" xfId="0" applyFill="1" applyAlignment="1"/>
    <xf numFmtId="0" fontId="8" fillId="0" borderId="1" xfId="0" applyFont="1" applyBorder="1" applyAlignment="1">
      <alignment horizontal="left" vertical="center" wrapText="1"/>
    </xf>
    <xf numFmtId="0" fontId="14" fillId="4" borderId="1" xfId="0" applyFont="1" applyFill="1" applyBorder="1" applyAlignment="1">
      <alignment horizontal="center" vertical="center"/>
    </xf>
    <xf numFmtId="0" fontId="10" fillId="0" borderId="1" xfId="0" applyFont="1" applyBorder="1" applyAlignment="1">
      <alignment horizontal="center" vertical="center" wrapText="1"/>
    </xf>
    <xf numFmtId="0" fontId="10" fillId="0" borderId="0" xfId="0" applyFont="1" applyAlignment="1">
      <alignment horizontal="left" vertical="center" wrapText="1"/>
    </xf>
    <xf numFmtId="0" fontId="14" fillId="4" borderId="1" xfId="0" applyFont="1" applyFill="1" applyBorder="1" applyAlignment="1" applyProtection="1">
      <alignment horizontal="center" vertical="center"/>
      <protection locked="0"/>
    </xf>
    <xf numFmtId="1" fontId="8" fillId="0" borderId="1" xfId="0" applyNumberFormat="1" applyFont="1" applyBorder="1" applyAlignment="1">
      <alignment horizontal="center" vertical="center" wrapText="1"/>
    </xf>
    <xf numFmtId="164" fontId="8" fillId="0" borderId="1" xfId="0" applyNumberFormat="1" applyFont="1" applyBorder="1" applyAlignment="1">
      <alignment horizontal="center" vertical="center" wrapText="1"/>
    </xf>
    <xf numFmtId="2" fontId="8" fillId="0" borderId="1" xfId="0" applyNumberFormat="1" applyFont="1" applyBorder="1" applyAlignment="1">
      <alignment horizontal="center" vertical="center" wrapText="1"/>
    </xf>
    <xf numFmtId="9" fontId="8" fillId="0" borderId="1" xfId="0" applyNumberFormat="1" applyFont="1" applyBorder="1" applyAlignment="1">
      <alignment horizontal="center" vertical="center" wrapText="1"/>
    </xf>
    <xf numFmtId="10" fontId="8" fillId="0" borderId="1" xfId="0" applyNumberFormat="1" applyFont="1" applyBorder="1" applyAlignment="1">
      <alignment horizontal="center" vertical="center" wrapText="1"/>
    </xf>
    <xf numFmtId="2" fontId="15" fillId="0" borderId="1" xfId="0" applyNumberFormat="1" applyFont="1" applyBorder="1" applyAlignment="1">
      <alignment horizontal="center" vertical="center" wrapText="1"/>
    </xf>
    <xf numFmtId="0" fontId="10" fillId="0" borderId="0" xfId="0" applyFont="1" applyAlignment="1"/>
    <xf numFmtId="0" fontId="8" fillId="5" borderId="1" xfId="0" applyFont="1" applyFill="1" applyBorder="1" applyAlignment="1">
      <alignment horizontal="left" vertical="center" wrapText="1"/>
    </xf>
    <xf numFmtId="3" fontId="8" fillId="5" borderId="1" xfId="0" applyNumberFormat="1" applyFont="1" applyFill="1" applyBorder="1" applyAlignment="1">
      <alignment horizontal="center" vertical="center" wrapText="1"/>
    </xf>
    <xf numFmtId="0" fontId="10" fillId="5" borderId="0" xfId="0" applyFont="1" applyFill="1" applyAlignment="1"/>
    <xf numFmtId="4" fontId="8" fillId="5" borderId="1" xfId="0" applyNumberFormat="1" applyFont="1" applyFill="1" applyBorder="1" applyAlignment="1">
      <alignment horizontal="center" vertical="center" wrapText="1"/>
    </xf>
    <xf numFmtId="2" fontId="8" fillId="5" borderId="1" xfId="0" applyNumberFormat="1" applyFont="1" applyFill="1" applyBorder="1" applyAlignment="1">
      <alignment horizontal="center" vertical="center" wrapText="1"/>
    </xf>
    <xf numFmtId="0" fontId="15" fillId="0" borderId="1" xfId="0" applyFont="1" applyBorder="1" applyAlignment="1">
      <alignment horizontal="left" vertical="center" wrapText="1"/>
    </xf>
    <xf numFmtId="4" fontId="15" fillId="0" borderId="1" xfId="0" applyNumberFormat="1" applyFont="1" applyBorder="1" applyAlignment="1">
      <alignment horizontal="center" vertical="center" wrapText="1"/>
    </xf>
    <xf numFmtId="9" fontId="15" fillId="0" borderId="1" xfId="0" applyNumberFormat="1" applyFont="1" applyBorder="1" applyAlignment="1">
      <alignment horizontal="center" vertical="center" wrapText="1"/>
    </xf>
    <xf numFmtId="0" fontId="15" fillId="0" borderId="1" xfId="0" applyFont="1" applyBorder="1" applyAlignment="1">
      <alignment horizontal="center" vertical="center" wrapText="1"/>
    </xf>
    <xf numFmtId="10" fontId="15" fillId="0" borderId="1" xfId="0" applyNumberFormat="1" applyFont="1" applyBorder="1" applyAlignment="1">
      <alignment horizontal="center" vertical="center" wrapText="1"/>
    </xf>
    <xf numFmtId="0" fontId="10" fillId="0" borderId="1" xfId="0" applyFont="1" applyBorder="1" applyAlignment="1">
      <alignment horizontal="left" vertical="center" wrapText="1"/>
    </xf>
    <xf numFmtId="0" fontId="17" fillId="0" borderId="0" xfId="0" applyFont="1" applyAlignment="1"/>
    <xf numFmtId="0" fontId="7" fillId="6" borderId="1" xfId="0" applyFont="1" applyFill="1" applyBorder="1" applyAlignment="1">
      <alignment horizontal="center" vertical="center" wrapText="1"/>
    </xf>
    <xf numFmtId="9" fontId="14" fillId="4" borderId="1" xfId="0" applyNumberFormat="1" applyFont="1" applyFill="1" applyBorder="1" applyAlignment="1">
      <alignment horizontal="center" vertical="center"/>
    </xf>
    <xf numFmtId="165" fontId="14" fillId="4" borderId="1" xfId="0" applyNumberFormat="1" applyFont="1" applyFill="1" applyBorder="1" applyAlignment="1">
      <alignment horizontal="center" vertical="center"/>
    </xf>
    <xf numFmtId="2" fontId="14" fillId="4" borderId="1" xfId="0" applyNumberFormat="1" applyFont="1" applyFill="1" applyBorder="1" applyAlignment="1">
      <alignment horizontal="center" vertical="center"/>
    </xf>
    <xf numFmtId="0" fontId="18" fillId="0" borderId="0" xfId="0" applyFont="1" applyAlignment="1">
      <alignment vertical="center" wrapText="1"/>
    </xf>
    <xf numFmtId="0" fontId="11" fillId="5" borderId="0" xfId="0" applyFont="1" applyFill="1" applyAlignment="1"/>
    <xf numFmtId="165" fontId="8" fillId="5" borderId="1" xfId="0" applyNumberFormat="1" applyFont="1" applyFill="1" applyBorder="1" applyAlignment="1">
      <alignment horizontal="center" vertical="center" wrapText="1"/>
    </xf>
    <xf numFmtId="10" fontId="8" fillId="5" borderId="1" xfId="0" applyNumberFormat="1" applyFont="1" applyFill="1" applyBorder="1" applyAlignment="1">
      <alignment horizontal="center" vertical="center" wrapText="1"/>
    </xf>
    <xf numFmtId="3" fontId="15" fillId="0" borderId="1" xfId="0" applyNumberFormat="1" applyFont="1" applyBorder="1" applyAlignment="1">
      <alignment horizontal="center" vertical="center" wrapText="1"/>
    </xf>
    <xf numFmtId="164" fontId="15" fillId="0" borderId="1" xfId="0" applyNumberFormat="1" applyFont="1" applyBorder="1" applyAlignment="1">
      <alignment horizontal="center" vertical="center" wrapText="1"/>
    </xf>
    <xf numFmtId="1" fontId="15" fillId="0" borderId="1" xfId="0" applyNumberFormat="1" applyFont="1" applyBorder="1" applyAlignment="1">
      <alignment horizontal="center" vertical="center" wrapText="1"/>
    </xf>
    <xf numFmtId="166" fontId="15" fillId="0" borderId="1" xfId="0" applyNumberFormat="1" applyFont="1" applyBorder="1" applyAlignment="1">
      <alignment horizontal="center" vertical="center" wrapText="1"/>
    </xf>
    <xf numFmtId="167" fontId="15" fillId="0" borderId="1" xfId="0" applyNumberFormat="1" applyFont="1" applyBorder="1" applyAlignment="1">
      <alignment horizontal="center" vertical="center" wrapText="1"/>
    </xf>
    <xf numFmtId="2" fontId="14" fillId="4" borderId="1" xfId="0" applyNumberFormat="1" applyFont="1" applyFill="1" applyBorder="1" applyAlignment="1" applyProtection="1">
      <alignment horizontal="center" vertical="center"/>
      <protection locked="0"/>
    </xf>
    <xf numFmtId="167" fontId="8" fillId="0" borderId="1" xfId="0" applyNumberFormat="1" applyFont="1" applyBorder="1" applyAlignment="1">
      <alignment horizontal="center" vertical="center" wrapText="1"/>
    </xf>
    <xf numFmtId="3" fontId="8" fillId="0" borderId="1" xfId="0" applyNumberFormat="1" applyFont="1" applyBorder="1" applyAlignment="1">
      <alignment horizontal="center" vertical="center" wrapText="1"/>
    </xf>
    <xf numFmtId="0" fontId="13" fillId="2" borderId="0" xfId="0" applyFont="1" applyFill="1" applyAlignment="1"/>
    <xf numFmtId="164" fontId="15" fillId="0" borderId="1" xfId="0" applyNumberFormat="1" applyFont="1" applyBorder="1" applyAlignment="1">
      <alignment horizontal="center" vertical="center"/>
    </xf>
    <xf numFmtId="2" fontId="15" fillId="0" borderId="1" xfId="0" applyNumberFormat="1" applyFont="1" applyBorder="1" applyAlignment="1">
      <alignment horizontal="center" vertical="center"/>
    </xf>
    <xf numFmtId="0" fontId="8" fillId="0" borderId="1" xfId="0" applyFont="1" applyBorder="1" applyAlignment="1">
      <alignment horizontal="center" vertical="center"/>
    </xf>
    <xf numFmtId="0" fontId="5" fillId="5" borderId="1" xfId="0" applyFont="1" applyFill="1" applyBorder="1" applyAlignment="1">
      <alignment horizontal="center" vertical="center"/>
    </xf>
    <xf numFmtId="1" fontId="14" fillId="4" borderId="1" xfId="0" applyNumberFormat="1" applyFont="1" applyFill="1" applyBorder="1" applyAlignment="1" applyProtection="1">
      <alignment horizontal="center" vertical="center"/>
      <protection locked="0"/>
    </xf>
    <xf numFmtId="168" fontId="15" fillId="0" borderId="1" xfId="0" applyNumberFormat="1" applyFont="1" applyBorder="1" applyAlignment="1">
      <alignment horizontal="center" vertical="center" wrapText="1"/>
    </xf>
    <xf numFmtId="9" fontId="14" fillId="4" borderId="1" xfId="0" applyNumberFormat="1" applyFont="1" applyFill="1" applyBorder="1" applyAlignment="1" applyProtection="1">
      <alignment horizontal="center" vertical="center"/>
      <protection locked="0"/>
    </xf>
    <xf numFmtId="0" fontId="10" fillId="5" borderId="1" xfId="0" applyFont="1" applyFill="1" applyBorder="1" applyAlignment="1">
      <alignment horizontal="center" vertical="center" wrapText="1"/>
    </xf>
    <xf numFmtId="0" fontId="10" fillId="5" borderId="0" xfId="0" applyFont="1" applyFill="1" applyAlignment="1">
      <alignment horizontal="left" vertical="center" wrapText="1"/>
    </xf>
    <xf numFmtId="0" fontId="0" fillId="5" borderId="0" xfId="0" applyFill="1" applyAlignment="1"/>
    <xf numFmtId="38" fontId="15" fillId="0" borderId="1" xfId="0" applyNumberFormat="1" applyFont="1" applyBorder="1" applyAlignment="1">
      <alignment horizontal="center" vertical="center" wrapText="1"/>
    </xf>
    <xf numFmtId="165" fontId="15" fillId="0" borderId="1" xfId="0" applyNumberFormat="1" applyFont="1" applyBorder="1" applyAlignment="1">
      <alignment horizontal="center" vertical="center" wrapText="1"/>
    </xf>
    <xf numFmtId="4" fontId="8" fillId="0" borderId="1" xfId="0" applyNumberFormat="1" applyFont="1" applyBorder="1" applyAlignment="1">
      <alignment horizontal="center" vertical="center" wrapText="1"/>
    </xf>
    <xf numFmtId="168" fontId="8" fillId="0" borderId="1" xfId="0" applyNumberFormat="1" applyFont="1" applyBorder="1" applyAlignment="1">
      <alignment horizontal="center" vertical="center" wrapText="1"/>
    </xf>
    <xf numFmtId="0" fontId="8" fillId="0" borderId="1" xfId="0" applyFont="1" applyBorder="1" applyAlignment="1" applyProtection="1">
      <alignment horizontal="center" vertical="center" wrapText="1"/>
      <protection locked="0"/>
    </xf>
    <xf numFmtId="10" fontId="14" fillId="4" borderId="1" xfId="0" applyNumberFormat="1" applyFont="1" applyFill="1" applyBorder="1" applyAlignment="1" applyProtection="1">
      <alignment horizontal="center" vertical="center"/>
      <protection locked="0"/>
    </xf>
    <xf numFmtId="49" fontId="8" fillId="0" borderId="1" xfId="0" applyNumberFormat="1" applyFont="1" applyBorder="1" applyAlignment="1">
      <alignment horizontal="center" vertical="center" wrapText="1"/>
    </xf>
    <xf numFmtId="165" fontId="11" fillId="0" borderId="1" xfId="0" applyNumberFormat="1" applyFont="1" applyBorder="1" applyAlignment="1">
      <alignment horizontal="center" vertical="center" wrapText="1"/>
    </xf>
    <xf numFmtId="165" fontId="8" fillId="0" borderId="1" xfId="0" applyNumberFormat="1" applyFont="1" applyBorder="1" applyAlignment="1">
      <alignment horizontal="center" vertical="center" wrapText="1"/>
    </xf>
    <xf numFmtId="0" fontId="10" fillId="5" borderId="0" xfId="0" applyFont="1" applyFill="1" applyAlignment="1">
      <alignment vertical="center" wrapText="1"/>
    </xf>
    <xf numFmtId="0" fontId="19" fillId="0" borderId="0" xfId="0" applyFont="1" applyAlignment="1">
      <alignment vertical="center" wrapText="1"/>
    </xf>
    <xf numFmtId="0" fontId="8" fillId="0" borderId="0" xfId="0" applyFont="1" applyAlignment="1">
      <alignment horizontal="left" vertical="center" wrapText="1"/>
    </xf>
    <xf numFmtId="0" fontId="9" fillId="0" borderId="0" xfId="0" applyFont="1" applyAlignment="1">
      <alignment horizontal="left" vertical="center" wrapText="1"/>
    </xf>
  </cellXfs>
  <cellStyles count="1">
    <cellStyle name="Normal" xfId="0" builtinId="0"/>
  </cellStyles>
  <dxfs count="2">
    <dxf>
      <fill>
        <patternFill>
          <bgColor rgb="FFF8CBCB"/>
        </patternFill>
      </fill>
    </dxf>
    <dxf>
      <fill>
        <patternFill>
          <bgColor rgb="FFF8CBCB"/>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7C7B"/>
      <rgbColor rgb="FFBFBFBF"/>
      <rgbColor rgb="FF808080"/>
      <rgbColor rgb="FF9999FF"/>
      <rgbColor rgb="FF993366"/>
      <rgbColor rgb="FFFFF2CC"/>
      <rgbColor rgb="FFDCEFE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CB"/>
      <rgbColor rgb="FF3366FF"/>
      <rgbColor rgb="FF33CCCC"/>
      <rgbColor rgb="FF99CC00"/>
      <rgbColor rgb="FFFFCC00"/>
      <rgbColor rgb="FFFF9900"/>
      <rgbColor rgb="FFFF6600"/>
      <rgbColor rgb="FF666666"/>
      <rgbColor rgb="FF969696"/>
      <rgbColor rgb="FF0B3D5C"/>
      <rgbColor rgb="FF339966"/>
      <rgbColor rgb="FF003300"/>
      <rgbColor rgb="FF333300"/>
      <rgbColor rgb="FF9B2226"/>
      <rgbColor rgb="FF993366"/>
      <rgbColor rgb="FF333399"/>
      <rgbColor rgb="FF22222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18" Type="http://schemas.openxmlformats.org/officeDocument/2006/relationships/theme" Target="theme/theme1.xml" /><Relationship Id="rId3" Type="http://schemas.openxmlformats.org/officeDocument/2006/relationships/worksheet" Target="worksheets/sheet3.xml" /><Relationship Id="rId21" Type="http://schemas.openxmlformats.org/officeDocument/2006/relationships/calcChain" Target="calcChain.xml" /><Relationship Id="rId7" Type="http://schemas.openxmlformats.org/officeDocument/2006/relationships/worksheet" Target="worksheets/sheet7.xml" /><Relationship Id="rId12" Type="http://schemas.openxmlformats.org/officeDocument/2006/relationships/worksheet" Target="worksheets/sheet12.xml" /><Relationship Id="rId17" Type="http://schemas.openxmlformats.org/officeDocument/2006/relationships/worksheet" Target="worksheets/sheet17.xml" /><Relationship Id="rId2" Type="http://schemas.openxmlformats.org/officeDocument/2006/relationships/worksheet" Target="worksheets/sheet2.xml" /><Relationship Id="rId16" Type="http://schemas.openxmlformats.org/officeDocument/2006/relationships/worksheet" Target="worksheets/sheet16.xml" /><Relationship Id="rId20" Type="http://schemas.openxmlformats.org/officeDocument/2006/relationships/sharedStrings" Target="sharedStrings.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5" Type="http://schemas.openxmlformats.org/officeDocument/2006/relationships/worksheet" Target="worksheets/sheet15.xml" /><Relationship Id="rId10" Type="http://schemas.openxmlformats.org/officeDocument/2006/relationships/worksheet" Target="worksheets/sheet10.xml" /><Relationship Id="rId19" Type="http://schemas.openxmlformats.org/officeDocument/2006/relationships/styles" Target="styles.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worksheet" Target="worksheets/sheet14.xml"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45"/>
  <sheetViews>
    <sheetView tabSelected="1" topLeftCell="B1" zoomScaleNormal="100" workbookViewId="0"/>
  </sheetViews>
  <sheetFormatPr defaultColWidth="8.7421875" defaultRowHeight="15" x14ac:dyDescent="0.2"/>
  <cols>
    <col min="1" max="1" width="4.03515625" style="13" customWidth="1"/>
    <col min="2" max="2" width="105.0625" style="13" customWidth="1"/>
  </cols>
  <sheetData>
    <row r="2" spans="2:2" ht="21.75" customHeight="1" x14ac:dyDescent="0.25">
      <c r="B2" s="14" t="s">
        <v>0</v>
      </c>
    </row>
    <row r="3" spans="2:2" ht="27.75" customHeight="1" x14ac:dyDescent="0.2">
      <c r="B3" s="15" t="s">
        <v>1</v>
      </c>
    </row>
    <row r="5" spans="2:2" ht="27.75" customHeight="1" x14ac:dyDescent="0.2">
      <c r="B5" s="16" t="s">
        <v>2</v>
      </c>
    </row>
    <row r="6" spans="2:2" ht="27.75" customHeight="1" x14ac:dyDescent="0.2">
      <c r="B6" s="17" t="s">
        <v>3</v>
      </c>
    </row>
    <row r="7" spans="2:2" ht="7.5" customHeight="1" x14ac:dyDescent="0.2">
      <c r="B7" s="17"/>
    </row>
    <row r="8" spans="2:2" ht="27.75" customHeight="1" x14ac:dyDescent="0.2">
      <c r="B8" s="16" t="s">
        <v>4</v>
      </c>
    </row>
    <row r="9" spans="2:2" ht="27.75" customHeight="1" x14ac:dyDescent="0.2">
      <c r="B9" s="17" t="s">
        <v>5</v>
      </c>
    </row>
    <row r="10" spans="2:2" ht="27.75" customHeight="1" x14ac:dyDescent="0.2">
      <c r="B10" s="17" t="s">
        <v>6</v>
      </c>
    </row>
    <row r="11" spans="2:2" ht="27.75" customHeight="1" x14ac:dyDescent="0.2">
      <c r="B11" s="17" t="s">
        <v>7</v>
      </c>
    </row>
    <row r="12" spans="2:2" ht="27.75" customHeight="1" x14ac:dyDescent="0.2">
      <c r="B12" s="17" t="s">
        <v>8</v>
      </c>
    </row>
    <row r="13" spans="2:2" ht="27.75" customHeight="1" x14ac:dyDescent="0.2">
      <c r="B13" s="17" t="s">
        <v>9</v>
      </c>
    </row>
    <row r="14" spans="2:2" ht="27.75" customHeight="1" x14ac:dyDescent="0.2">
      <c r="B14" s="17" t="s">
        <v>10</v>
      </c>
    </row>
    <row r="15" spans="2:2" ht="27.75" customHeight="1" x14ac:dyDescent="0.2">
      <c r="B15" s="17" t="s">
        <v>11</v>
      </c>
    </row>
    <row r="16" spans="2:2" ht="27.75" customHeight="1" x14ac:dyDescent="0.2">
      <c r="B16" s="17" t="s">
        <v>12</v>
      </c>
    </row>
    <row r="17" spans="2:2" ht="27.75" customHeight="1" x14ac:dyDescent="0.2">
      <c r="B17" s="17" t="s">
        <v>13</v>
      </c>
    </row>
    <row r="18" spans="2:2" ht="27.75" customHeight="1" x14ac:dyDescent="0.2">
      <c r="B18" s="17" t="s">
        <v>14</v>
      </c>
    </row>
    <row r="19" spans="2:2" ht="27.75" customHeight="1" x14ac:dyDescent="0.2">
      <c r="B19" s="17" t="s">
        <v>15</v>
      </c>
    </row>
    <row r="20" spans="2:2" ht="27.75" customHeight="1" x14ac:dyDescent="0.2">
      <c r="B20" s="17" t="s">
        <v>16</v>
      </c>
    </row>
    <row r="21" spans="2:2" ht="27.75" customHeight="1" x14ac:dyDescent="0.2">
      <c r="B21" s="17" t="s">
        <v>17</v>
      </c>
    </row>
    <row r="22" spans="2:2" ht="27.75" customHeight="1" x14ac:dyDescent="0.2">
      <c r="B22" s="17" t="s">
        <v>18</v>
      </c>
    </row>
    <row r="23" spans="2:2" ht="27.75" customHeight="1" x14ac:dyDescent="0.2">
      <c r="B23" s="17" t="s">
        <v>19</v>
      </c>
    </row>
    <row r="24" spans="2:2" ht="27.75" customHeight="1" x14ac:dyDescent="0.2">
      <c r="B24" s="16" t="s">
        <v>20</v>
      </c>
    </row>
    <row r="25" spans="2:2" ht="27.75" customHeight="1" x14ac:dyDescent="0.2">
      <c r="B25" s="17" t="s">
        <v>21</v>
      </c>
    </row>
    <row r="26" spans="2:2" ht="27.75" customHeight="1" x14ac:dyDescent="0.2">
      <c r="B26" s="17" t="s">
        <v>22</v>
      </c>
    </row>
    <row r="27" spans="2:2" ht="27.75" customHeight="1" x14ac:dyDescent="0.2">
      <c r="B27" s="17" t="s">
        <v>23</v>
      </c>
    </row>
    <row r="28" spans="2:2" ht="7.5" customHeight="1" x14ac:dyDescent="0.2">
      <c r="B28" s="17"/>
    </row>
    <row r="29" spans="2:2" ht="27.75" customHeight="1" x14ac:dyDescent="0.2">
      <c r="B29" s="16" t="s">
        <v>24</v>
      </c>
    </row>
    <row r="30" spans="2:2" ht="27.75" customHeight="1" x14ac:dyDescent="0.2">
      <c r="B30" s="17" t="s">
        <v>25</v>
      </c>
    </row>
    <row r="31" spans="2:2" ht="27.75" customHeight="1" x14ac:dyDescent="0.2">
      <c r="B31" s="17" t="s">
        <v>26</v>
      </c>
    </row>
    <row r="32" spans="2:2" ht="7.5" customHeight="1" x14ac:dyDescent="0.2">
      <c r="B32" s="17"/>
    </row>
    <row r="33" spans="2:2" ht="27.75" customHeight="1" x14ac:dyDescent="0.2">
      <c r="B33" s="17" t="s">
        <v>27</v>
      </c>
    </row>
    <row r="34" spans="2:2" ht="27.75" customHeight="1" x14ac:dyDescent="0.2">
      <c r="B34" s="17" t="s">
        <v>28</v>
      </c>
    </row>
    <row r="35" spans="2:2" ht="27.75" customHeight="1" x14ac:dyDescent="0.2">
      <c r="B35" s="17" t="s">
        <v>29</v>
      </c>
    </row>
    <row r="36" spans="2:2" ht="27.75" customHeight="1" x14ac:dyDescent="0.2">
      <c r="B36" s="17" t="s">
        <v>30</v>
      </c>
    </row>
    <row r="37" spans="2:2" ht="27.75" customHeight="1" x14ac:dyDescent="0.2">
      <c r="B37" s="17" t="s">
        <v>31</v>
      </c>
    </row>
    <row r="38" spans="2:2" ht="7.5" customHeight="1" x14ac:dyDescent="0.2">
      <c r="B38" s="17"/>
    </row>
    <row r="39" spans="2:2" ht="7.5" customHeight="1" x14ac:dyDescent="0.2">
      <c r="B39" s="17"/>
    </row>
    <row r="40" spans="2:2" ht="7.5" customHeight="1" x14ac:dyDescent="0.2">
      <c r="B40" s="17"/>
    </row>
    <row r="41" spans="2:2" ht="27.75" customHeight="1" x14ac:dyDescent="0.2">
      <c r="B41" s="17" t="s">
        <v>32</v>
      </c>
    </row>
    <row r="42" spans="2:2" ht="27.75" customHeight="1" x14ac:dyDescent="0.2">
      <c r="B42" s="17" t="s">
        <v>33</v>
      </c>
    </row>
    <row r="43" spans="2:2" ht="27.75" customHeight="1" x14ac:dyDescent="0.2">
      <c r="B43" s="17" t="s">
        <v>34</v>
      </c>
    </row>
    <row r="44" spans="2:2" ht="27.75" customHeight="1" x14ac:dyDescent="0.2">
      <c r="B44" s="17" t="s">
        <v>35</v>
      </c>
    </row>
    <row r="45" spans="2:2" ht="24" customHeight="1" x14ac:dyDescent="0.2">
      <c r="B45" s="18" t="s">
        <v>36</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9"/>
  <sheetViews>
    <sheetView zoomScaleNormal="100" workbookViewId="0">
      <pane ySplit="3" topLeftCell="A4" activePane="bottomLeft" state="frozen"/>
      <selection pane="bottomLeft"/>
    </sheetView>
  </sheetViews>
  <sheetFormatPr defaultColWidth="8.7421875" defaultRowHeight="15" x14ac:dyDescent="0.2"/>
  <cols>
    <col min="1" max="1" width="11.97265625" style="13" customWidth="1"/>
    <col min="2" max="2" width="69.94921875" style="13" customWidth="1"/>
    <col min="3" max="3" width="18.0234375" style="13" customWidth="1"/>
  </cols>
  <sheetData>
    <row r="1" spans="1:3" ht="19.5" customHeight="1" x14ac:dyDescent="0.25">
      <c r="A1" s="12" t="s">
        <v>37</v>
      </c>
      <c r="B1" s="12"/>
      <c r="C1" s="12"/>
    </row>
    <row r="3" spans="1:3" ht="25.5" customHeight="1" x14ac:dyDescent="0.2">
      <c r="A3" s="19" t="s">
        <v>38</v>
      </c>
      <c r="B3" s="19" t="s">
        <v>39</v>
      </c>
      <c r="C3" s="19" t="s">
        <v>40</v>
      </c>
    </row>
    <row r="4" spans="1:3" ht="42" customHeight="1" x14ac:dyDescent="0.2">
      <c r="A4" s="20" t="s">
        <v>41</v>
      </c>
      <c r="B4" s="21" t="s">
        <v>42</v>
      </c>
      <c r="C4" s="22" t="s">
        <v>43</v>
      </c>
    </row>
    <row r="5" spans="1:3" ht="42" customHeight="1" x14ac:dyDescent="0.2">
      <c r="A5" s="20" t="s">
        <v>41</v>
      </c>
      <c r="B5" s="21" t="s">
        <v>44</v>
      </c>
      <c r="C5" s="22" t="s">
        <v>45</v>
      </c>
    </row>
    <row r="6" spans="1:3" ht="42" customHeight="1" x14ac:dyDescent="0.2">
      <c r="A6" s="20" t="s">
        <v>41</v>
      </c>
      <c r="B6" s="21" t="s">
        <v>46</v>
      </c>
      <c r="C6" s="22" t="s">
        <v>47</v>
      </c>
    </row>
    <row r="7" spans="1:3" ht="42" customHeight="1" x14ac:dyDescent="0.2">
      <c r="A7" s="20" t="s">
        <v>41</v>
      </c>
      <c r="B7" s="21" t="s">
        <v>48</v>
      </c>
      <c r="C7" s="22" t="s">
        <v>49</v>
      </c>
    </row>
    <row r="8" spans="1:3" ht="42" customHeight="1" x14ac:dyDescent="0.2">
      <c r="A8" s="20" t="s">
        <v>50</v>
      </c>
      <c r="B8" s="21" t="s">
        <v>51</v>
      </c>
      <c r="C8" s="22" t="s">
        <v>52</v>
      </c>
    </row>
    <row r="9" spans="1:3" ht="42" customHeight="1" x14ac:dyDescent="0.2">
      <c r="A9" s="20" t="s">
        <v>50</v>
      </c>
      <c r="B9" s="21" t="s">
        <v>53</v>
      </c>
      <c r="C9" s="22" t="s">
        <v>47</v>
      </c>
    </row>
    <row r="10" spans="1:3" ht="42" customHeight="1" x14ac:dyDescent="0.2">
      <c r="A10" s="20" t="s">
        <v>50</v>
      </c>
      <c r="B10" s="21" t="s">
        <v>54</v>
      </c>
      <c r="C10" s="22" t="s">
        <v>55</v>
      </c>
    </row>
    <row r="11" spans="1:3" ht="42" customHeight="1" x14ac:dyDescent="0.2">
      <c r="A11" s="20" t="s">
        <v>56</v>
      </c>
      <c r="B11" s="21" t="s">
        <v>57</v>
      </c>
      <c r="C11" s="22" t="s">
        <v>58</v>
      </c>
    </row>
    <row r="12" spans="1:3" ht="42" customHeight="1" x14ac:dyDescent="0.2">
      <c r="A12" s="20" t="s">
        <v>56</v>
      </c>
      <c r="B12" s="21" t="s">
        <v>59</v>
      </c>
      <c r="C12" s="22" t="s">
        <v>60</v>
      </c>
    </row>
    <row r="13" spans="1:3" ht="42" customHeight="1" x14ac:dyDescent="0.2">
      <c r="A13" s="20" t="s">
        <v>56</v>
      </c>
      <c r="B13" s="21" t="s">
        <v>61</v>
      </c>
      <c r="C13" s="22" t="s">
        <v>62</v>
      </c>
    </row>
    <row r="14" spans="1:3" ht="42" customHeight="1" x14ac:dyDescent="0.2">
      <c r="A14" s="20" t="s">
        <v>56</v>
      </c>
      <c r="B14" s="21" t="s">
        <v>63</v>
      </c>
      <c r="C14" s="22" t="s">
        <v>64</v>
      </c>
    </row>
    <row r="15" spans="1:3" ht="42" customHeight="1" x14ac:dyDescent="0.2">
      <c r="A15" s="20" t="s">
        <v>56</v>
      </c>
      <c r="B15" s="21" t="s">
        <v>65</v>
      </c>
      <c r="C15" s="22" t="s">
        <v>66</v>
      </c>
    </row>
    <row r="16" spans="1:3" ht="42" customHeight="1" x14ac:dyDescent="0.2">
      <c r="A16" s="20" t="s">
        <v>56</v>
      </c>
      <c r="B16" s="21" t="s">
        <v>67</v>
      </c>
      <c r="C16" s="22" t="s">
        <v>55</v>
      </c>
    </row>
    <row r="17" spans="1:3" ht="42" customHeight="1" x14ac:dyDescent="0.2">
      <c r="A17" s="20" t="s">
        <v>68</v>
      </c>
      <c r="B17" s="21" t="s">
        <v>69</v>
      </c>
      <c r="C17" s="22" t="s">
        <v>70</v>
      </c>
    </row>
    <row r="18" spans="1:3" ht="42" customHeight="1" x14ac:dyDescent="0.2">
      <c r="A18" s="20" t="s">
        <v>68</v>
      </c>
      <c r="B18" s="21" t="s">
        <v>71</v>
      </c>
      <c r="C18" s="22" t="s">
        <v>72</v>
      </c>
    </row>
    <row r="19" spans="1:3" ht="42" customHeight="1" x14ac:dyDescent="0.2">
      <c r="A19" s="20" t="s">
        <v>68</v>
      </c>
      <c r="B19" s="21" t="s">
        <v>73</v>
      </c>
      <c r="C19" s="22" t="s">
        <v>52</v>
      </c>
    </row>
    <row r="20" spans="1:3" ht="42" customHeight="1" x14ac:dyDescent="0.2">
      <c r="A20" s="20" t="s">
        <v>68</v>
      </c>
      <c r="B20" s="21" t="s">
        <v>74</v>
      </c>
      <c r="C20" s="22" t="s">
        <v>60</v>
      </c>
    </row>
    <row r="21" spans="1:3" ht="42" customHeight="1" x14ac:dyDescent="0.2">
      <c r="A21" s="20" t="s">
        <v>68</v>
      </c>
      <c r="B21" s="21" t="s">
        <v>75</v>
      </c>
      <c r="C21" s="22" t="s">
        <v>60</v>
      </c>
    </row>
    <row r="22" spans="1:3" ht="42" customHeight="1" x14ac:dyDescent="0.2">
      <c r="A22" s="20" t="s">
        <v>68</v>
      </c>
      <c r="B22" s="21" t="s">
        <v>76</v>
      </c>
      <c r="C22" s="22" t="s">
        <v>77</v>
      </c>
    </row>
    <row r="23" spans="1:3" ht="42" customHeight="1" x14ac:dyDescent="0.2">
      <c r="A23" s="20" t="s">
        <v>68</v>
      </c>
      <c r="B23" s="21" t="s">
        <v>78</v>
      </c>
      <c r="C23" s="22" t="s">
        <v>55</v>
      </c>
    </row>
    <row r="25" spans="1:3" ht="42" customHeight="1" x14ac:dyDescent="0.2">
      <c r="A25" s="23" t="s">
        <v>79</v>
      </c>
      <c r="B25" s="21" t="s">
        <v>80</v>
      </c>
      <c r="C25" s="22" t="s">
        <v>58</v>
      </c>
    </row>
    <row r="26" spans="1:3" ht="42" customHeight="1" x14ac:dyDescent="0.2">
      <c r="A26" s="11" t="s">
        <v>79</v>
      </c>
      <c r="B26" s="11"/>
      <c r="C26" s="11"/>
    </row>
    <row r="27" spans="1:3" ht="45.75" customHeight="1" x14ac:dyDescent="0.2">
      <c r="A27" s="11" t="s">
        <v>81</v>
      </c>
      <c r="B27" s="11"/>
      <c r="C27" s="11"/>
    </row>
    <row r="28" spans="1:3" ht="45.75" customHeight="1" x14ac:dyDescent="0.2">
      <c r="A28" s="11" t="s">
        <v>81</v>
      </c>
      <c r="B28" s="11"/>
      <c r="C28" s="11"/>
    </row>
    <row r="29" spans="1:3" ht="45.75" customHeight="1" x14ac:dyDescent="0.2">
      <c r="A29" s="11" t="s">
        <v>81</v>
      </c>
      <c r="B29" s="11"/>
      <c r="C29" s="11"/>
    </row>
    <row r="30" spans="1:3" ht="45.75" customHeight="1" x14ac:dyDescent="0.2">
      <c r="A30" s="11" t="s">
        <v>81</v>
      </c>
      <c r="B30" s="11"/>
      <c r="C30" s="11"/>
    </row>
    <row r="31" spans="1:3" ht="109.5" customHeight="1" x14ac:dyDescent="0.2">
      <c r="A31" s="10" t="s">
        <v>82</v>
      </c>
      <c r="B31" s="10"/>
      <c r="C31" s="10"/>
    </row>
    <row r="32" spans="1:3" ht="25.5" customHeight="1" x14ac:dyDescent="0.2">
      <c r="A32" s="9" t="s">
        <v>83</v>
      </c>
      <c r="B32" s="9"/>
      <c r="C32" s="9"/>
    </row>
    <row r="33" spans="1:1" ht="147" customHeight="1" x14ac:dyDescent="0.2">
      <c r="A33" s="21" t="s">
        <v>84</v>
      </c>
    </row>
    <row r="34" spans="1:1" ht="113.25" customHeight="1" x14ac:dyDescent="0.2">
      <c r="A34" s="21" t="s">
        <v>85</v>
      </c>
    </row>
    <row r="35" spans="1:1" ht="124.5" customHeight="1" x14ac:dyDescent="0.2">
      <c r="A35" s="21" t="s">
        <v>86</v>
      </c>
    </row>
    <row r="36" spans="1:1" ht="90.75" customHeight="1" x14ac:dyDescent="0.2">
      <c r="A36" s="21" t="s">
        <v>87</v>
      </c>
    </row>
    <row r="37" spans="1:1" ht="147" customHeight="1" x14ac:dyDescent="0.2">
      <c r="A37" s="21" t="s">
        <v>88</v>
      </c>
    </row>
    <row r="38" spans="1:1" ht="113.25" customHeight="1" x14ac:dyDescent="0.2">
      <c r="A38" s="21" t="s">
        <v>89</v>
      </c>
    </row>
    <row r="39" spans="1:1" ht="113.25" customHeight="1" x14ac:dyDescent="0.2">
      <c r="A39" s="21" t="s">
        <v>90</v>
      </c>
    </row>
  </sheetData>
  <mergeCells count="8">
    <mergeCell ref="A30:C30"/>
    <mergeCell ref="A31:C31"/>
    <mergeCell ref="A32:C32"/>
    <mergeCell ref="A1:C1"/>
    <mergeCell ref="A26:C26"/>
    <mergeCell ref="A27:C27"/>
    <mergeCell ref="A28:C28"/>
    <mergeCell ref="A29:C29"/>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0"/>
  <sheetViews>
    <sheetView zoomScaleNormal="100" workbookViewId="0">
      <pane ySplit="3" topLeftCell="A4" activePane="bottomLeft" state="frozen"/>
      <selection pane="bottomLeft"/>
    </sheetView>
  </sheetViews>
  <sheetFormatPr defaultColWidth="8.7421875" defaultRowHeight="15" x14ac:dyDescent="0.2"/>
  <cols>
    <col min="1" max="1" width="34.03125" style="13" customWidth="1"/>
    <col min="2" max="2" width="20.04296875" style="13" customWidth="1"/>
    <col min="3" max="3" width="13.98828125" style="13" customWidth="1"/>
    <col min="4" max="4" width="46.00390625" style="13" customWidth="1"/>
  </cols>
  <sheetData>
    <row r="1" spans="1:4" ht="21.75" customHeight="1" x14ac:dyDescent="0.25">
      <c r="A1" s="8" t="s">
        <v>91</v>
      </c>
      <c r="B1" s="8"/>
      <c r="C1" s="8"/>
      <c r="D1" s="8"/>
    </row>
    <row r="2" spans="1:4" ht="15" customHeight="1" x14ac:dyDescent="0.2">
      <c r="A2" s="7" t="s">
        <v>92</v>
      </c>
      <c r="B2" s="7"/>
      <c r="C2" s="7"/>
      <c r="D2" s="7"/>
    </row>
    <row r="3" spans="1:4" ht="15" customHeight="1" x14ac:dyDescent="0.2">
      <c r="A3" s="6" t="s">
        <v>93</v>
      </c>
      <c r="B3" s="6"/>
      <c r="C3" s="6"/>
      <c r="D3" s="6"/>
    </row>
    <row r="4" spans="1:4" ht="19.5" customHeight="1" x14ac:dyDescent="0.2">
      <c r="A4" s="24" t="s">
        <v>94</v>
      </c>
      <c r="B4" s="25"/>
      <c r="C4" s="25"/>
      <c r="D4" s="25"/>
    </row>
    <row r="5" spans="1:4" ht="25.5" customHeight="1" x14ac:dyDescent="0.2">
      <c r="A5" s="26" t="s">
        <v>95</v>
      </c>
      <c r="B5" s="27" t="s">
        <v>96</v>
      </c>
      <c r="C5" s="28" t="s">
        <v>97</v>
      </c>
      <c r="D5" s="29" t="s">
        <v>98</v>
      </c>
    </row>
    <row r="6" spans="1:4" ht="25.5" customHeight="1" x14ac:dyDescent="0.2">
      <c r="A6" s="26" t="s">
        <v>99</v>
      </c>
      <c r="B6" s="27" t="s">
        <v>100</v>
      </c>
      <c r="C6" s="28" t="s">
        <v>101</v>
      </c>
      <c r="D6" s="29"/>
    </row>
    <row r="7" spans="1:4" ht="25.5" customHeight="1" x14ac:dyDescent="0.2">
      <c r="A7" s="26" t="s">
        <v>102</v>
      </c>
      <c r="B7" s="27" t="s">
        <v>102</v>
      </c>
      <c r="C7" s="28" t="s">
        <v>101</v>
      </c>
      <c r="D7" s="29"/>
    </row>
    <row r="8" spans="1:4" ht="25.5" customHeight="1" x14ac:dyDescent="0.2">
      <c r="A8" s="26" t="s">
        <v>103</v>
      </c>
      <c r="B8" s="27" t="s">
        <v>104</v>
      </c>
      <c r="C8" s="28" t="s">
        <v>101</v>
      </c>
      <c r="D8" s="29"/>
    </row>
    <row r="9" spans="1:4" ht="25.5" customHeight="1" x14ac:dyDescent="0.2">
      <c r="A9" s="26" t="s">
        <v>105</v>
      </c>
      <c r="B9" s="27" t="s">
        <v>106</v>
      </c>
      <c r="C9" s="28" t="s">
        <v>101</v>
      </c>
      <c r="D9" s="29"/>
    </row>
    <row r="10" spans="1:4" ht="25.5" customHeight="1" x14ac:dyDescent="0.2">
      <c r="A10" s="26" t="s">
        <v>107</v>
      </c>
      <c r="B10" s="27">
        <v>1</v>
      </c>
      <c r="C10" s="28" t="s">
        <v>108</v>
      </c>
      <c r="D10" s="29" t="s">
        <v>109</v>
      </c>
    </row>
    <row r="11" spans="1:4" ht="25.5" customHeight="1" x14ac:dyDescent="0.2">
      <c r="A11" s="26" t="s">
        <v>110</v>
      </c>
      <c r="B11" s="27">
        <v>1.5</v>
      </c>
      <c r="C11" s="28" t="s">
        <v>111</v>
      </c>
      <c r="D11" s="29" t="s">
        <v>112</v>
      </c>
    </row>
    <row r="12" spans="1:4" ht="25.5" customHeight="1" x14ac:dyDescent="0.2">
      <c r="A12" s="26" t="s">
        <v>113</v>
      </c>
      <c r="B12" s="27">
        <v>1</v>
      </c>
      <c r="C12" s="28" t="s">
        <v>114</v>
      </c>
      <c r="D12" s="29" t="s">
        <v>115</v>
      </c>
    </row>
    <row r="13" spans="1:4" ht="25.5" customHeight="1" x14ac:dyDescent="0.2">
      <c r="A13" s="26" t="s">
        <v>116</v>
      </c>
      <c r="B13" s="27"/>
      <c r="C13" s="28" t="s">
        <v>117</v>
      </c>
      <c r="D13" s="29" t="s">
        <v>118</v>
      </c>
    </row>
    <row r="14" spans="1:4" ht="30" customHeight="1" x14ac:dyDescent="0.2">
      <c r="A14" s="26" t="s">
        <v>119</v>
      </c>
      <c r="B14" s="30" t="s">
        <v>120</v>
      </c>
      <c r="C14" s="28" t="s">
        <v>121</v>
      </c>
      <c r="D14" s="22" t="s">
        <v>122</v>
      </c>
    </row>
    <row r="15" spans="1:4" ht="19.5" customHeight="1" x14ac:dyDescent="0.2">
      <c r="A15" s="24" t="s">
        <v>123</v>
      </c>
      <c r="B15" s="25"/>
      <c r="C15" s="25"/>
      <c r="D15" s="25"/>
    </row>
    <row r="16" spans="1:4" ht="21.75" customHeight="1" x14ac:dyDescent="0.2">
      <c r="A16" s="26" t="s">
        <v>124</v>
      </c>
      <c r="B16" s="20" t="str">
        <f>INDEX('Species Database'!$B$5:$B$9,MATCH($B$5,'Species Database'!$A$5:$A$9,0))</f>
        <v>Freshwater Fish (polyculture)</v>
      </c>
    </row>
    <row r="17" spans="1:3" ht="21.75" customHeight="1" x14ac:dyDescent="0.2">
      <c r="A17" s="26" t="s">
        <v>125</v>
      </c>
      <c r="B17" s="31">
        <f>INDEX('Species Database'!$C$5:$C$9,MATCH($B$5,'Species Database'!$A$5:$A$9,0))</f>
        <v>6250</v>
      </c>
    </row>
    <row r="18" spans="1:3" ht="21.75" customHeight="1" x14ac:dyDescent="0.2">
      <c r="A18" s="26" t="s">
        <v>126</v>
      </c>
      <c r="B18" s="32">
        <f>INDEX('Species Database'!$D$5:$D$9,MATCH($B$5,'Species Database'!$A$5:$A$9,0))</f>
        <v>150</v>
      </c>
    </row>
    <row r="19" spans="1:3" ht="21.75" customHeight="1" x14ac:dyDescent="0.2">
      <c r="A19" s="26" t="s">
        <v>127</v>
      </c>
      <c r="B19" s="33">
        <f>INDEX('Species Database'!$E$5:$E$9,MATCH($B$5,'Species Database'!$A$5:$A$9,0))</f>
        <v>1000</v>
      </c>
    </row>
    <row r="20" spans="1:3" ht="21.75" customHeight="1" x14ac:dyDescent="0.2">
      <c r="A20" s="26" t="s">
        <v>128</v>
      </c>
      <c r="B20" s="33">
        <f>INDEX('Species Database'!$F$5:$F$9,MATCH($B$5,'Species Database'!$A$5:$A$9,0))</f>
        <v>1500</v>
      </c>
    </row>
    <row r="21" spans="1:3" ht="21.75" customHeight="1" x14ac:dyDescent="0.2">
      <c r="A21" s="26" t="s">
        <v>129</v>
      </c>
      <c r="B21" s="31">
        <f>INDEX('Species Database'!$G$5:$G$9,MATCH($B$5,'Species Database'!$A$5:$A$9,0))</f>
        <v>240</v>
      </c>
    </row>
    <row r="22" spans="1:3" ht="21.75" customHeight="1" x14ac:dyDescent="0.2">
      <c r="A22" s="26" t="s">
        <v>130</v>
      </c>
      <c r="B22" s="34">
        <f>INDEX('Species Database'!$H$5:$H$9,MATCH($B$5,'Species Database'!$A$5:$A$9,0))</f>
        <v>0.8</v>
      </c>
    </row>
    <row r="23" spans="1:3" ht="21.75" customHeight="1" x14ac:dyDescent="0.2">
      <c r="A23" s="26" t="s">
        <v>131</v>
      </c>
      <c r="B23" s="20" t="str">
        <f>INDEX('Species Database'!$I$5:$I$9,MATCH($B$5,'Species Database'!$A$5:$A$9,0))</f>
        <v>No</v>
      </c>
    </row>
    <row r="24" spans="1:3" ht="21.75" customHeight="1" x14ac:dyDescent="0.2">
      <c r="A24" s="26" t="s">
        <v>132</v>
      </c>
      <c r="B24" s="33">
        <f>INDEX('Species Database'!$J$5:$J$9,MATCH($B$5,'Species Database'!$A$5:$A$9,0))</f>
        <v>3</v>
      </c>
    </row>
    <row r="25" spans="1:3" ht="21.75" customHeight="1" x14ac:dyDescent="0.2">
      <c r="A25" s="26" t="s">
        <v>133</v>
      </c>
      <c r="B25" s="33">
        <f>INDEX('Species Database'!$K$5:$K$9,MATCH($B$5,'Species Database'!$A$5:$A$9,0))</f>
        <v>2.5</v>
      </c>
    </row>
    <row r="26" spans="1:3" ht="21.75" customHeight="1" x14ac:dyDescent="0.2">
      <c r="A26" s="26" t="s">
        <v>134</v>
      </c>
      <c r="B26" s="33">
        <f>INDEX('Species Database'!$L$5:$L$9,MATCH($B$5,'Species Database'!$A$5:$A$9,0))</f>
        <v>0.61499999999999999</v>
      </c>
    </row>
    <row r="27" spans="1:3" ht="21.75" customHeight="1" x14ac:dyDescent="0.2">
      <c r="A27" s="26" t="s">
        <v>135</v>
      </c>
      <c r="B27" s="35">
        <f>INDEX('Species Database'!$M$5:$M$9,MATCH($B$5,'Species Database'!$A$5:$A$9,0))</f>
        <v>0.39249999999999996</v>
      </c>
    </row>
    <row r="28" spans="1:3" ht="21.75" customHeight="1" x14ac:dyDescent="0.2">
      <c r="A28" s="26" t="s">
        <v>136</v>
      </c>
      <c r="B28" s="35">
        <f>INDEX('Species Database'!$N$5:$N$9,MATCH($B$5,'Species Database'!$A$5:$A$9,0))</f>
        <v>3.8928000000000004E-2</v>
      </c>
    </row>
    <row r="30" spans="1:3" ht="21.75" customHeight="1" x14ac:dyDescent="0.2">
      <c r="A30" s="26" t="s">
        <v>137</v>
      </c>
      <c r="B30" s="33">
        <f>IF($B$13="",B24,$B$13)</f>
        <v>3</v>
      </c>
    </row>
    <row r="31" spans="1:3" ht="21.75" customHeight="1" x14ac:dyDescent="0.2">
      <c r="A31" s="26" t="s">
        <v>138</v>
      </c>
      <c r="B31" s="36">
        <f>B25</f>
        <v>2.5</v>
      </c>
      <c r="C31" s="37" t="s">
        <v>139</v>
      </c>
    </row>
    <row r="33" spans="1:4" ht="19.5" customHeight="1" x14ac:dyDescent="0.2">
      <c r="A33" s="24" t="s">
        <v>140</v>
      </c>
      <c r="B33" s="25"/>
      <c r="C33" s="25"/>
      <c r="D33" s="25"/>
    </row>
    <row r="34" spans="1:4" ht="21.75" customHeight="1" x14ac:dyDescent="0.2">
      <c r="A34" s="38" t="s">
        <v>141</v>
      </c>
      <c r="B34" s="39">
        <f>'Harvest Schedule'!B15</f>
        <v>8777.422629483679</v>
      </c>
      <c r="C34" s="40" t="s">
        <v>142</v>
      </c>
    </row>
    <row r="35" spans="1:4" ht="21.75" customHeight="1" x14ac:dyDescent="0.2">
      <c r="A35" s="38" t="s">
        <v>143</v>
      </c>
      <c r="B35" s="39">
        <f>'Growth &amp; Feed Model'!B25</f>
        <v>20800.266616031942</v>
      </c>
      <c r="C35" s="40" t="s">
        <v>142</v>
      </c>
    </row>
    <row r="36" spans="1:4" ht="21.75" customHeight="1" x14ac:dyDescent="0.2">
      <c r="A36" s="38" t="s">
        <v>144</v>
      </c>
      <c r="B36" s="39">
        <f>'Economics Module'!B22</f>
        <v>936011.99772143736</v>
      </c>
      <c r="C36" s="40" t="s">
        <v>145</v>
      </c>
    </row>
    <row r="37" spans="1:4" ht="21.75" customHeight="1" x14ac:dyDescent="0.2">
      <c r="A37" s="38" t="s">
        <v>146</v>
      </c>
      <c r="B37" s="39">
        <f>'Feed Emission Model'!B16</f>
        <v>8164.1046467925362</v>
      </c>
      <c r="C37" s="40" t="s">
        <v>147</v>
      </c>
    </row>
    <row r="38" spans="1:4" ht="21.75" customHeight="1" x14ac:dyDescent="0.2">
      <c r="A38" s="38" t="s">
        <v>148</v>
      </c>
      <c r="B38" s="39">
        <f>'Feed Emission Model'!B17</f>
        <v>1796.103022294358</v>
      </c>
      <c r="C38" s="40" t="s">
        <v>147</v>
      </c>
    </row>
    <row r="39" spans="1:4" ht="21.75" customHeight="1" x14ac:dyDescent="0.2">
      <c r="A39" s="38" t="s">
        <v>149</v>
      </c>
      <c r="B39" s="39">
        <f>'Feed Emission Model'!B18</f>
        <v>6368.001624498178</v>
      </c>
      <c r="C39" s="40" t="s">
        <v>147</v>
      </c>
    </row>
    <row r="40" spans="1:4" ht="21.75" customHeight="1" x14ac:dyDescent="0.2">
      <c r="A40" s="38" t="s">
        <v>150</v>
      </c>
      <c r="B40" s="41">
        <f>'Pond Emission Model'!B24</f>
        <v>28.528647277751848</v>
      </c>
      <c r="C40" s="40" t="s">
        <v>151</v>
      </c>
    </row>
    <row r="41" spans="1:4" ht="21.75" customHeight="1" x14ac:dyDescent="0.2">
      <c r="A41" s="38" t="s">
        <v>152</v>
      </c>
      <c r="B41" s="41">
        <f>'Pond Emission Model'!B29</f>
        <v>2.0231252145310443</v>
      </c>
      <c r="C41" s="40" t="s">
        <v>151</v>
      </c>
    </row>
    <row r="42" spans="1:4" ht="21.75" customHeight="1" x14ac:dyDescent="0.2">
      <c r="A42" s="38" t="s">
        <v>153</v>
      </c>
      <c r="B42" s="39">
        <f>'Economics Module'!B23</f>
        <v>3500</v>
      </c>
      <c r="C42" s="40" t="s">
        <v>145</v>
      </c>
    </row>
    <row r="43" spans="1:4" ht="21.75" customHeight="1" x14ac:dyDescent="0.2">
      <c r="A43" s="38" t="s">
        <v>154</v>
      </c>
      <c r="B43" s="39">
        <f>'Economics Module'!B24</f>
        <v>64400</v>
      </c>
      <c r="C43" s="40" t="s">
        <v>145</v>
      </c>
    </row>
    <row r="44" spans="1:4" ht="21.75" customHeight="1" x14ac:dyDescent="0.2">
      <c r="A44" s="38" t="s">
        <v>155</v>
      </c>
      <c r="B44" s="41">
        <f>'Energy Module'!B30</f>
        <v>2.4550000000000001</v>
      </c>
      <c r="C44" s="40" t="s">
        <v>151</v>
      </c>
    </row>
    <row r="45" spans="1:4" ht="21.75" customHeight="1" x14ac:dyDescent="0.2">
      <c r="A45" s="38" t="s">
        <v>156</v>
      </c>
      <c r="B45" s="41">
        <f>'Carbon Accounting'!B10</f>
        <v>45.862936461142532</v>
      </c>
      <c r="C45" s="40" t="s">
        <v>151</v>
      </c>
    </row>
    <row r="46" spans="1:4" ht="21.75" customHeight="1" x14ac:dyDescent="0.2">
      <c r="A46" s="38" t="s">
        <v>157</v>
      </c>
      <c r="B46" s="41">
        <f>'Carbon Accounting'!B18</f>
        <v>43.288225823160651</v>
      </c>
      <c r="C46" s="40" t="s">
        <v>151</v>
      </c>
    </row>
    <row r="47" spans="1:4" ht="21.75" customHeight="1" x14ac:dyDescent="0.2">
      <c r="A47" s="38" t="s">
        <v>158</v>
      </c>
      <c r="B47" s="42">
        <f>'Carbon Accounting'!B20</f>
        <v>4.9317695695492594</v>
      </c>
      <c r="C47" s="40" t="s">
        <v>159</v>
      </c>
    </row>
    <row r="48" spans="1:4" ht="21.75" customHeight="1" x14ac:dyDescent="0.2">
      <c r="A48" s="38" t="s">
        <v>160</v>
      </c>
      <c r="B48" s="41">
        <f>'Carbon Reduction Summary'!B9</f>
        <v>22.987306934389792</v>
      </c>
      <c r="C48" s="40" t="s">
        <v>161</v>
      </c>
    </row>
    <row r="49" spans="1:3" ht="21.75" customHeight="1" x14ac:dyDescent="0.2">
      <c r="A49" s="38" t="s">
        <v>162</v>
      </c>
      <c r="B49" s="41">
        <f>'Carbon Reduction Summary'!B11</f>
        <v>22.987306934389792</v>
      </c>
      <c r="C49" s="40" t="s">
        <v>163</v>
      </c>
    </row>
    <row r="50" spans="1:3" ht="21.75" customHeight="1" x14ac:dyDescent="0.2">
      <c r="A50" s="38" t="s">
        <v>164</v>
      </c>
      <c r="B50" s="39">
        <f>'Economics Module'!B30</f>
        <v>10277.944111440796</v>
      </c>
      <c r="C50" s="40" t="s">
        <v>145</v>
      </c>
    </row>
  </sheetData>
  <mergeCells count="3">
    <mergeCell ref="A1:D1"/>
    <mergeCell ref="A2:D2"/>
    <mergeCell ref="A3:D3"/>
  </mergeCells>
  <dataValidations count="1">
    <dataValidation type="list" sqref="B14" xr:uid="{00000000-0002-0000-0200-000001000000}">
      <formula1>"AR5,AR6"</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xr:uid="{00000000-0002-0000-0200-000000000000}">
          <x14:formula1>
            <xm:f>'Species Database'!$A$5:$A$9</xm:f>
          </x14:formula1>
          <x14:formula2>
            <xm:f>0</xm:f>
          </x14:formula2>
          <xm:sqref>B5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9"/>
  <sheetViews>
    <sheetView zoomScaleNormal="100" workbookViewId="0">
      <pane ySplit="4" topLeftCell="A5" activePane="bottomLeft" state="frozen"/>
      <selection pane="bottomLeft"/>
    </sheetView>
  </sheetViews>
  <sheetFormatPr defaultColWidth="8.7421875" defaultRowHeight="15" x14ac:dyDescent="0.2"/>
  <cols>
    <col min="1" max="1" width="16.0078125" style="13" customWidth="1"/>
    <col min="2" max="2" width="20.04296875" style="13" customWidth="1"/>
    <col min="3" max="3" width="14.9296875" style="13" customWidth="1"/>
    <col min="4" max="4" width="13.98828125" style="13" customWidth="1"/>
    <col min="5" max="5" width="14.9296875" style="13" customWidth="1"/>
    <col min="6" max="6" width="13.98828125" style="13" customWidth="1"/>
    <col min="7" max="7" width="13.046875" style="13" customWidth="1"/>
    <col min="8" max="9" width="11.02734375" style="13" customWidth="1"/>
    <col min="10" max="10" width="11.97265625" style="13" customWidth="1"/>
    <col min="11" max="11" width="13.98828125" style="13" customWidth="1"/>
    <col min="12" max="12" width="13.046875" style="13" customWidth="1"/>
    <col min="13" max="14" width="11.97265625" style="13" customWidth="1"/>
    <col min="15" max="15" width="34.03125" style="13" customWidth="1"/>
  </cols>
  <sheetData>
    <row r="1" spans="1:15" ht="17.25" customHeight="1" x14ac:dyDescent="0.2">
      <c r="A1" s="5" t="s">
        <v>43</v>
      </c>
      <c r="B1" s="5"/>
      <c r="C1" s="5"/>
      <c r="D1" s="5"/>
      <c r="E1" s="5"/>
      <c r="F1" s="5"/>
      <c r="G1" s="5"/>
      <c r="H1" s="5"/>
      <c r="I1" s="5"/>
      <c r="J1" s="5"/>
      <c r="K1" s="5"/>
      <c r="L1" s="5"/>
      <c r="M1" s="5"/>
      <c r="N1" s="5"/>
      <c r="O1" s="5"/>
    </row>
    <row r="2" spans="1:15" ht="15" customHeight="1" x14ac:dyDescent="0.2">
      <c r="A2" s="7" t="s">
        <v>165</v>
      </c>
      <c r="B2" s="7"/>
      <c r="C2" s="7"/>
      <c r="D2" s="7"/>
      <c r="E2" s="7"/>
      <c r="F2" s="7"/>
      <c r="G2" s="7"/>
      <c r="H2" s="7"/>
      <c r="I2" s="7"/>
      <c r="J2" s="7"/>
      <c r="K2" s="7"/>
      <c r="L2" s="7"/>
      <c r="M2" s="7"/>
      <c r="N2" s="7"/>
      <c r="O2" s="7"/>
    </row>
    <row r="4" spans="1:15" ht="43.5" customHeight="1" x14ac:dyDescent="0.2">
      <c r="A4" s="19" t="s">
        <v>95</v>
      </c>
      <c r="B4" s="19" t="s">
        <v>124</v>
      </c>
      <c r="C4" s="19" t="s">
        <v>166</v>
      </c>
      <c r="D4" s="19" t="s">
        <v>167</v>
      </c>
      <c r="E4" s="19" t="s">
        <v>168</v>
      </c>
      <c r="F4" s="19" t="s">
        <v>169</v>
      </c>
      <c r="G4" s="19" t="s">
        <v>170</v>
      </c>
      <c r="H4" s="19" t="s">
        <v>171</v>
      </c>
      <c r="I4" s="19" t="s">
        <v>172</v>
      </c>
      <c r="J4" s="19" t="s">
        <v>173</v>
      </c>
      <c r="K4" s="19" t="s">
        <v>174</v>
      </c>
      <c r="L4" s="19" t="s">
        <v>175</v>
      </c>
      <c r="M4" s="19" t="s">
        <v>176</v>
      </c>
      <c r="N4" s="19" t="s">
        <v>177</v>
      </c>
      <c r="O4" s="19" t="s">
        <v>178</v>
      </c>
    </row>
    <row r="5" spans="1:15" ht="39.75" customHeight="1" x14ac:dyDescent="0.2">
      <c r="A5" s="43" t="s">
        <v>96</v>
      </c>
      <c r="B5" s="43" t="s">
        <v>179</v>
      </c>
      <c r="C5" s="44">
        <v>6250</v>
      </c>
      <c r="D5" s="44">
        <v>150</v>
      </c>
      <c r="E5" s="44">
        <v>1000</v>
      </c>
      <c r="F5" s="44">
        <v>1500</v>
      </c>
      <c r="G5" s="44">
        <v>240</v>
      </c>
      <c r="H5" s="45">
        <v>0.8</v>
      </c>
      <c r="I5" s="46" t="s">
        <v>180</v>
      </c>
      <c r="J5" s="36">
        <v>3</v>
      </c>
      <c r="K5" s="36">
        <v>2.5</v>
      </c>
      <c r="L5" s="36">
        <f>'Feed Database'!E47</f>
        <v>0.61499999999999999</v>
      </c>
      <c r="M5" s="47">
        <f>'Feed Database'!C47</f>
        <v>0.39249999999999996</v>
      </c>
      <c r="N5" s="47">
        <f>'Feed Database'!D47</f>
        <v>3.8928000000000004E-2</v>
      </c>
      <c r="O5" s="48" t="s">
        <v>181</v>
      </c>
    </row>
    <row r="6" spans="1:15" ht="39.75" customHeight="1" x14ac:dyDescent="0.2">
      <c r="A6" s="43" t="s">
        <v>182</v>
      </c>
      <c r="B6" s="43" t="s">
        <v>183</v>
      </c>
      <c r="C6" s="44">
        <v>25000</v>
      </c>
      <c r="D6" s="44">
        <v>5</v>
      </c>
      <c r="E6" s="44"/>
      <c r="F6" s="44">
        <v>1000</v>
      </c>
      <c r="G6" s="44">
        <v>240</v>
      </c>
      <c r="H6" s="45">
        <v>0.85</v>
      </c>
      <c r="I6" s="46" t="s">
        <v>180</v>
      </c>
      <c r="J6" s="36">
        <v>1.6</v>
      </c>
      <c r="K6" s="36">
        <v>1.4</v>
      </c>
      <c r="L6" s="36">
        <f>'Feed Database'!E48</f>
        <v>1.81</v>
      </c>
      <c r="M6" s="47">
        <f>'Feed Database'!C48</f>
        <v>0.39500000000000002</v>
      </c>
      <c r="N6" s="47">
        <f>'Feed Database'!D48</f>
        <v>4.4160000000000005E-2</v>
      </c>
      <c r="O6" s="48" t="s">
        <v>184</v>
      </c>
    </row>
    <row r="7" spans="1:15" ht="39.75" customHeight="1" x14ac:dyDescent="0.2">
      <c r="A7" s="43" t="s">
        <v>185</v>
      </c>
      <c r="B7" s="43" t="s">
        <v>183</v>
      </c>
      <c r="C7" s="44">
        <v>8000</v>
      </c>
      <c r="D7" s="44">
        <v>10</v>
      </c>
      <c r="E7" s="44"/>
      <c r="F7" s="44">
        <v>800</v>
      </c>
      <c r="G7" s="44">
        <v>240</v>
      </c>
      <c r="H7" s="45">
        <v>0.85</v>
      </c>
      <c r="I7" s="46" t="s">
        <v>186</v>
      </c>
      <c r="J7" s="36">
        <v>1.8</v>
      </c>
      <c r="K7" s="36">
        <v>1.55</v>
      </c>
      <c r="L7" s="36">
        <f>'Feed Database'!E49</f>
        <v>1.81</v>
      </c>
      <c r="M7" s="47">
        <f>'Feed Database'!C49</f>
        <v>0.39500000000000002</v>
      </c>
      <c r="N7" s="47">
        <f>'Feed Database'!D49</f>
        <v>4.512E-2</v>
      </c>
      <c r="O7" s="48" t="s">
        <v>187</v>
      </c>
    </row>
    <row r="8" spans="1:15" ht="39.75" customHeight="1" x14ac:dyDescent="0.2">
      <c r="A8" s="43" t="s">
        <v>188</v>
      </c>
      <c r="B8" s="43" t="s">
        <v>189</v>
      </c>
      <c r="C8" s="44">
        <v>400000</v>
      </c>
      <c r="D8" s="44">
        <v>5.0000000000000001E-3</v>
      </c>
      <c r="E8" s="44">
        <v>16.7</v>
      </c>
      <c r="F8" s="44">
        <v>33.299999999999997</v>
      </c>
      <c r="G8" s="44">
        <v>120</v>
      </c>
      <c r="H8" s="45">
        <v>0.75</v>
      </c>
      <c r="I8" s="46" t="s">
        <v>186</v>
      </c>
      <c r="J8" s="36">
        <v>1.5</v>
      </c>
      <c r="K8" s="36">
        <v>1.35</v>
      </c>
      <c r="L8" s="36">
        <f>'Feed Database'!E50</f>
        <v>2.4600000000000009</v>
      </c>
      <c r="M8" s="47">
        <f>'Feed Database'!C50</f>
        <v>0.39100000000000007</v>
      </c>
      <c r="N8" s="47">
        <f>'Feed Database'!D50</f>
        <v>5.5360000000000006E-2</v>
      </c>
      <c r="O8" s="48" t="s">
        <v>190</v>
      </c>
    </row>
    <row r="9" spans="1:15" ht="39.75" customHeight="1" x14ac:dyDescent="0.2">
      <c r="A9" s="43" t="s">
        <v>191</v>
      </c>
      <c r="B9" s="43" t="s">
        <v>189</v>
      </c>
      <c r="C9" s="44">
        <v>150000</v>
      </c>
      <c r="D9" s="44">
        <v>0.01</v>
      </c>
      <c r="E9" s="44">
        <v>33.299999999999997</v>
      </c>
      <c r="F9" s="44">
        <v>66.7</v>
      </c>
      <c r="G9" s="44">
        <v>150</v>
      </c>
      <c r="H9" s="45">
        <v>0.7</v>
      </c>
      <c r="I9" s="46" t="s">
        <v>186</v>
      </c>
      <c r="J9" s="36">
        <v>1.7</v>
      </c>
      <c r="K9" s="36">
        <v>1.5</v>
      </c>
      <c r="L9" s="36">
        <f>'Feed Database'!E51</f>
        <v>2.4299999999999997</v>
      </c>
      <c r="M9" s="47">
        <f>'Feed Database'!C51</f>
        <v>0.39150000000000007</v>
      </c>
      <c r="N9" s="47">
        <f>'Feed Database'!D51</f>
        <v>5.4879999999999998E-2</v>
      </c>
      <c r="O9" s="48" t="s">
        <v>192</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51"/>
  <sheetViews>
    <sheetView zoomScaleNormal="100" workbookViewId="0">
      <pane ySplit="3" topLeftCell="A4" activePane="bottomLeft" state="frozen"/>
      <selection pane="bottomLeft"/>
    </sheetView>
  </sheetViews>
  <sheetFormatPr defaultColWidth="8.7421875" defaultRowHeight="15" x14ac:dyDescent="0.2"/>
  <cols>
    <col min="1" max="1" width="22.05859375" style="13" customWidth="1"/>
    <col min="2" max="2" width="11.97265625" style="13" customWidth="1"/>
    <col min="3" max="4" width="9.953125" style="13" customWidth="1"/>
    <col min="5" max="5" width="11.97265625" style="13" customWidth="1"/>
    <col min="6" max="6" width="13.98828125" style="13" customWidth="1"/>
    <col min="7" max="7" width="16.0078125" style="13" customWidth="1"/>
    <col min="8" max="9" width="13.98828125" style="13" customWidth="1"/>
  </cols>
  <sheetData>
    <row r="1" spans="1:9" ht="17.25" customHeight="1" x14ac:dyDescent="0.2">
      <c r="A1" s="5" t="s">
        <v>193</v>
      </c>
      <c r="B1" s="5"/>
      <c r="C1" s="5"/>
      <c r="D1" s="5"/>
      <c r="E1" s="5"/>
      <c r="F1" s="5"/>
      <c r="G1" s="5"/>
      <c r="H1" s="5"/>
      <c r="I1" s="5"/>
    </row>
    <row r="2" spans="1:9" ht="15" customHeight="1" x14ac:dyDescent="0.2">
      <c r="A2" s="7" t="s">
        <v>194</v>
      </c>
      <c r="B2" s="7"/>
      <c r="C2" s="7"/>
      <c r="D2" s="7"/>
      <c r="E2" s="7"/>
      <c r="F2" s="7"/>
      <c r="G2" s="7"/>
      <c r="H2" s="7"/>
      <c r="I2" s="7"/>
    </row>
    <row r="4" spans="1:9" ht="15" customHeight="1" x14ac:dyDescent="0.2">
      <c r="A4" s="49" t="s">
        <v>195</v>
      </c>
    </row>
    <row r="5" spans="1:9" ht="31.5" customHeight="1" x14ac:dyDescent="0.2">
      <c r="A5" s="50" t="s">
        <v>196</v>
      </c>
      <c r="B5" s="50" t="s">
        <v>197</v>
      </c>
      <c r="C5" s="50" t="s">
        <v>198</v>
      </c>
      <c r="D5" s="50" t="s">
        <v>199</v>
      </c>
      <c r="E5" s="50" t="s">
        <v>200</v>
      </c>
      <c r="F5" s="50" t="s">
        <v>201</v>
      </c>
      <c r="G5" s="50" t="s">
        <v>202</v>
      </c>
      <c r="H5" s="50" t="s">
        <v>203</v>
      </c>
    </row>
    <row r="6" spans="1:9" ht="39.75" customHeight="1" x14ac:dyDescent="0.2">
      <c r="A6" s="43" t="s">
        <v>204</v>
      </c>
      <c r="B6" s="51">
        <v>0.16900000000000001</v>
      </c>
      <c r="C6" s="52">
        <v>1.4999999999999999E-2</v>
      </c>
      <c r="D6" s="51">
        <v>9.6000000000000002E-2</v>
      </c>
      <c r="E6" s="51">
        <v>0.38</v>
      </c>
      <c r="F6" s="47">
        <f>B6/6.25</f>
        <v>2.7040000000000002E-2</v>
      </c>
      <c r="G6" s="53">
        <v>0.4</v>
      </c>
      <c r="H6" s="51">
        <v>0.7</v>
      </c>
      <c r="I6" s="54" t="s">
        <v>205</v>
      </c>
    </row>
    <row r="7" spans="1:9" ht="21.75" customHeight="1" x14ac:dyDescent="0.2">
      <c r="A7" s="43" t="s">
        <v>206</v>
      </c>
      <c r="B7" s="51">
        <v>0.45</v>
      </c>
      <c r="C7" s="52">
        <v>7.0000000000000007E-2</v>
      </c>
      <c r="D7" s="51">
        <v>0.06</v>
      </c>
      <c r="E7" s="51">
        <v>0.42</v>
      </c>
      <c r="F7" s="47">
        <f>B7/6.25</f>
        <v>7.2000000000000008E-2</v>
      </c>
      <c r="G7" s="53">
        <v>1.2</v>
      </c>
      <c r="H7" s="51">
        <v>0.15</v>
      </c>
    </row>
    <row r="8" spans="1:9" ht="21.75" customHeight="1" x14ac:dyDescent="0.2">
      <c r="A8" s="43" t="s">
        <v>207</v>
      </c>
      <c r="B8" s="51">
        <v>0.44</v>
      </c>
      <c r="C8" s="52">
        <v>1.4999999999999999E-2</v>
      </c>
      <c r="D8" s="51">
        <v>7.0000000000000007E-2</v>
      </c>
      <c r="E8" s="51">
        <v>0.41</v>
      </c>
      <c r="F8" s="47">
        <f>B8/6.25</f>
        <v>7.0400000000000004E-2</v>
      </c>
      <c r="G8" s="53">
        <v>1.1000000000000001</v>
      </c>
      <c r="H8" s="51">
        <v>0.1</v>
      </c>
    </row>
    <row r="9" spans="1:9" ht="21.75" customHeight="1" x14ac:dyDescent="0.2">
      <c r="A9" s="43" t="s">
        <v>208</v>
      </c>
      <c r="B9" s="51">
        <v>0.27</v>
      </c>
      <c r="C9" s="52">
        <v>0.1</v>
      </c>
      <c r="D9" s="51">
        <v>0.08</v>
      </c>
      <c r="E9" s="51">
        <v>0.45</v>
      </c>
      <c r="F9" s="47">
        <f>B9/6.25</f>
        <v>4.3200000000000002E-2</v>
      </c>
      <c r="G9" s="53">
        <v>0.9</v>
      </c>
      <c r="H9" s="51">
        <v>0.05</v>
      </c>
    </row>
    <row r="10" spans="1:9" ht="15" customHeight="1" x14ac:dyDescent="0.2">
      <c r="A10" s="37" t="s">
        <v>209</v>
      </c>
      <c r="H10" s="45">
        <f>SUM(H6:H9)</f>
        <v>1</v>
      </c>
    </row>
    <row r="11" spans="1:9" ht="15" customHeight="1" x14ac:dyDescent="0.2">
      <c r="A11" s="55" t="s">
        <v>210</v>
      </c>
      <c r="B11" s="56">
        <f>SUMPRODUCT(H6:H9,B6:B9)/SUM(H6:H9)</f>
        <v>0.24330000000000004</v>
      </c>
      <c r="E11" s="56">
        <f>SUMPRODUCT(H6:H9,E6:E9)/SUM(H6:H9)</f>
        <v>0.39249999999999996</v>
      </c>
      <c r="F11" s="57">
        <f>SUMPRODUCT(H6:H9,F6:F9)/SUM(H6:H9)</f>
        <v>3.8928000000000004E-2</v>
      </c>
      <c r="G11" s="42">
        <f>SUMPRODUCT(H6:H9,G6:G9)/SUM(H6:H9)</f>
        <v>0.61499999999999999</v>
      </c>
    </row>
    <row r="12" spans="1:9" ht="24" customHeight="1" x14ac:dyDescent="0.2">
      <c r="A12" s="4" t="s">
        <v>211</v>
      </c>
      <c r="B12" s="4"/>
      <c r="C12" s="4"/>
      <c r="D12" s="4"/>
      <c r="E12" s="4"/>
      <c r="F12" s="4"/>
      <c r="G12" s="4"/>
      <c r="H12" s="4"/>
    </row>
    <row r="14" spans="1:9" ht="15" customHeight="1" x14ac:dyDescent="0.2">
      <c r="A14" s="49" t="s">
        <v>212</v>
      </c>
    </row>
    <row r="15" spans="1:9" ht="31.5" customHeight="1" x14ac:dyDescent="0.2">
      <c r="A15" s="50" t="s">
        <v>213</v>
      </c>
      <c r="B15" s="50" t="s">
        <v>197</v>
      </c>
      <c r="C15" s="50" t="s">
        <v>200</v>
      </c>
      <c r="D15" s="50" t="s">
        <v>201</v>
      </c>
      <c r="E15" s="50" t="s">
        <v>202</v>
      </c>
      <c r="F15" s="50" t="s">
        <v>214</v>
      </c>
    </row>
    <row r="16" spans="1:9" ht="21.75" customHeight="1" x14ac:dyDescent="0.2">
      <c r="A16" s="43" t="s">
        <v>215</v>
      </c>
      <c r="B16" s="51">
        <v>0.3</v>
      </c>
      <c r="C16" s="51">
        <v>0.4</v>
      </c>
      <c r="D16" s="47">
        <f>B16/6.25</f>
        <v>4.8000000000000001E-2</v>
      </c>
      <c r="E16" s="53">
        <v>2</v>
      </c>
      <c r="F16" s="51">
        <v>0.3</v>
      </c>
    </row>
    <row r="17" spans="1:7" ht="21.75" customHeight="1" x14ac:dyDescent="0.2">
      <c r="A17" s="43" t="s">
        <v>216</v>
      </c>
      <c r="B17" s="51">
        <v>0.28000000000000003</v>
      </c>
      <c r="C17" s="51">
        <v>0.4</v>
      </c>
      <c r="D17" s="47">
        <f>B17/6.25</f>
        <v>4.4800000000000006E-2</v>
      </c>
      <c r="E17" s="53">
        <v>1.8</v>
      </c>
      <c r="F17" s="51">
        <v>0.45</v>
      </c>
    </row>
    <row r="18" spans="1:7" ht="21.75" customHeight="1" x14ac:dyDescent="0.2">
      <c r="A18" s="43" t="s">
        <v>217</v>
      </c>
      <c r="B18" s="51">
        <v>0.24</v>
      </c>
      <c r="C18" s="51">
        <v>0.38</v>
      </c>
      <c r="D18" s="47">
        <f>B18/6.25</f>
        <v>3.8399999999999997E-2</v>
      </c>
      <c r="E18" s="53">
        <v>1.6</v>
      </c>
      <c r="F18" s="51">
        <v>0.25</v>
      </c>
    </row>
    <row r="19" spans="1:7" ht="15" customHeight="1" x14ac:dyDescent="0.2">
      <c r="A19" s="37" t="s">
        <v>209</v>
      </c>
      <c r="F19" s="45">
        <f>SUM(F16:F18)</f>
        <v>1</v>
      </c>
    </row>
    <row r="20" spans="1:7" ht="15" customHeight="1" x14ac:dyDescent="0.2">
      <c r="A20" s="55" t="s">
        <v>218</v>
      </c>
      <c r="B20" s="56">
        <f>SUMPRODUCT(F16:F18,B16:B18)/SUM(F16:F18)</f>
        <v>0.27600000000000002</v>
      </c>
      <c r="C20" s="56">
        <f>SUMPRODUCT(F16:F18,C16:C18)/SUM(F16:F18)</f>
        <v>0.39500000000000002</v>
      </c>
      <c r="D20" s="57">
        <f>SUMPRODUCT(F16:F18,D16:D18)/SUM(F16:F18)</f>
        <v>4.4160000000000005E-2</v>
      </c>
      <c r="E20" s="42">
        <f>SUMPRODUCT(F16:F18,E16:E18)/SUM(F16:F18)</f>
        <v>1.81</v>
      </c>
    </row>
    <row r="21" spans="1:7" ht="24" customHeight="1" x14ac:dyDescent="0.2">
      <c r="A21" s="4" t="s">
        <v>219</v>
      </c>
      <c r="B21" s="4"/>
      <c r="C21" s="4"/>
      <c r="D21" s="4"/>
      <c r="E21" s="4"/>
      <c r="F21" s="4"/>
      <c r="G21" s="4"/>
    </row>
    <row r="23" spans="1:7" ht="15" customHeight="1" x14ac:dyDescent="0.2">
      <c r="A23" s="49" t="s">
        <v>220</v>
      </c>
    </row>
    <row r="24" spans="1:7" ht="31.5" customHeight="1" x14ac:dyDescent="0.2">
      <c r="A24" s="50" t="s">
        <v>213</v>
      </c>
      <c r="B24" s="50" t="s">
        <v>197</v>
      </c>
      <c r="C24" s="50" t="s">
        <v>200</v>
      </c>
      <c r="D24" s="50" t="s">
        <v>201</v>
      </c>
      <c r="E24" s="50" t="s">
        <v>202</v>
      </c>
      <c r="F24" s="50" t="s">
        <v>214</v>
      </c>
    </row>
    <row r="25" spans="1:7" ht="21.75" customHeight="1" x14ac:dyDescent="0.2">
      <c r="A25" s="43" t="s">
        <v>215</v>
      </c>
      <c r="B25" s="51">
        <v>0.32</v>
      </c>
      <c r="C25" s="51">
        <v>0.4</v>
      </c>
      <c r="D25" s="47">
        <f>B25/6.25</f>
        <v>5.1200000000000002E-2</v>
      </c>
      <c r="E25" s="53">
        <v>2</v>
      </c>
      <c r="F25" s="51">
        <v>0.3</v>
      </c>
    </row>
    <row r="26" spans="1:7" ht="21.75" customHeight="1" x14ac:dyDescent="0.2">
      <c r="A26" s="43" t="s">
        <v>216</v>
      </c>
      <c r="B26" s="51">
        <v>0.28000000000000003</v>
      </c>
      <c r="C26" s="51">
        <v>0.4</v>
      </c>
      <c r="D26" s="47">
        <f>B26/6.25</f>
        <v>4.4800000000000006E-2</v>
      </c>
      <c r="E26" s="53">
        <v>1.8</v>
      </c>
      <c r="F26" s="51">
        <v>0.45</v>
      </c>
    </row>
    <row r="27" spans="1:7" ht="21.75" customHeight="1" x14ac:dyDescent="0.2">
      <c r="A27" s="43" t="s">
        <v>217</v>
      </c>
      <c r="B27" s="51">
        <v>0.24</v>
      </c>
      <c r="C27" s="51">
        <v>0.38</v>
      </c>
      <c r="D27" s="47">
        <f>B27/6.25</f>
        <v>3.8399999999999997E-2</v>
      </c>
      <c r="E27" s="53">
        <v>1.6</v>
      </c>
      <c r="F27" s="51">
        <v>0.25</v>
      </c>
    </row>
    <row r="28" spans="1:7" ht="15" customHeight="1" x14ac:dyDescent="0.2">
      <c r="A28" s="37" t="s">
        <v>209</v>
      </c>
      <c r="F28" s="45">
        <f>SUM(F25:F27)</f>
        <v>1</v>
      </c>
    </row>
    <row r="29" spans="1:7" ht="15" customHeight="1" x14ac:dyDescent="0.2">
      <c r="A29" s="55" t="s">
        <v>218</v>
      </c>
      <c r="B29" s="56">
        <f>SUMPRODUCT(F25:F27,B25:B27)/SUM(F25:F27)</f>
        <v>0.28200000000000003</v>
      </c>
      <c r="C29" s="56">
        <f>SUMPRODUCT(F25:F27,C25:C27)/SUM(F25:F27)</f>
        <v>0.39500000000000002</v>
      </c>
      <c r="D29" s="57">
        <f>SUMPRODUCT(F25:F27,D25:D27)/SUM(F25:F27)</f>
        <v>4.512E-2</v>
      </c>
      <c r="E29" s="42">
        <f>SUMPRODUCT(F25:F27,E25:E27)/SUM(F25:F27)</f>
        <v>1.81</v>
      </c>
    </row>
    <row r="30" spans="1:7" ht="24" customHeight="1" x14ac:dyDescent="0.2">
      <c r="A30" s="4" t="s">
        <v>221</v>
      </c>
      <c r="B30" s="4"/>
      <c r="C30" s="4"/>
      <c r="D30" s="4"/>
      <c r="E30" s="4"/>
      <c r="F30" s="4"/>
      <c r="G30" s="4"/>
    </row>
    <row r="32" spans="1:7" ht="15" customHeight="1" x14ac:dyDescent="0.2">
      <c r="A32" s="49" t="s">
        <v>222</v>
      </c>
    </row>
    <row r="33" spans="1:7" ht="31.5" customHeight="1" x14ac:dyDescent="0.2">
      <c r="A33" s="50" t="s">
        <v>213</v>
      </c>
      <c r="B33" s="50" t="s">
        <v>197</v>
      </c>
      <c r="C33" s="50" t="s">
        <v>200</v>
      </c>
      <c r="D33" s="50" t="s">
        <v>201</v>
      </c>
      <c r="E33" s="50" t="s">
        <v>202</v>
      </c>
      <c r="F33" s="50" t="s">
        <v>223</v>
      </c>
      <c r="G33" s="50" t="s">
        <v>224</v>
      </c>
    </row>
    <row r="34" spans="1:7" ht="21.75" customHeight="1" x14ac:dyDescent="0.2">
      <c r="A34" s="43" t="s">
        <v>225</v>
      </c>
      <c r="B34" s="51">
        <v>0.4</v>
      </c>
      <c r="C34" s="51">
        <v>0.38</v>
      </c>
      <c r="D34" s="47">
        <f>B34/6.25</f>
        <v>6.4000000000000001E-2</v>
      </c>
      <c r="E34" s="53">
        <v>3</v>
      </c>
      <c r="F34" s="51">
        <v>0.05</v>
      </c>
      <c r="G34" s="51">
        <v>0.05</v>
      </c>
    </row>
    <row r="35" spans="1:7" ht="21.75" customHeight="1" x14ac:dyDescent="0.2">
      <c r="A35" s="43" t="s">
        <v>215</v>
      </c>
      <c r="B35" s="51">
        <v>0.38</v>
      </c>
      <c r="C35" s="51">
        <v>0.38</v>
      </c>
      <c r="D35" s="47">
        <f>B35/6.25</f>
        <v>6.08E-2</v>
      </c>
      <c r="E35" s="53">
        <v>2.8</v>
      </c>
      <c r="F35" s="51">
        <v>0.15</v>
      </c>
      <c r="G35" s="51">
        <v>0.15</v>
      </c>
    </row>
    <row r="36" spans="1:7" ht="21.75" customHeight="1" x14ac:dyDescent="0.2">
      <c r="A36" s="43" t="s">
        <v>226</v>
      </c>
      <c r="B36" s="51">
        <v>0.36</v>
      </c>
      <c r="C36" s="51">
        <v>0.39</v>
      </c>
      <c r="D36" s="47">
        <f>B36/6.25</f>
        <v>5.7599999999999998E-2</v>
      </c>
      <c r="E36" s="53">
        <v>2.6</v>
      </c>
      <c r="F36" s="51">
        <v>0.25</v>
      </c>
      <c r="G36" s="51">
        <v>0.2</v>
      </c>
    </row>
    <row r="37" spans="1:7" ht="21.75" customHeight="1" x14ac:dyDescent="0.2">
      <c r="A37" s="43" t="s">
        <v>227</v>
      </c>
      <c r="B37" s="51">
        <v>0.34</v>
      </c>
      <c r="C37" s="51">
        <v>0.39</v>
      </c>
      <c r="D37" s="47">
        <f>B37/6.25</f>
        <v>5.4400000000000004E-2</v>
      </c>
      <c r="E37" s="53">
        <v>2.4</v>
      </c>
      <c r="F37" s="51">
        <v>0.25</v>
      </c>
      <c r="G37" s="51">
        <v>0.25</v>
      </c>
    </row>
    <row r="38" spans="1:7" ht="21.75" customHeight="1" x14ac:dyDescent="0.2">
      <c r="A38" s="43" t="s">
        <v>228</v>
      </c>
      <c r="B38" s="51">
        <v>0.32</v>
      </c>
      <c r="C38" s="51">
        <v>0.4</v>
      </c>
      <c r="D38" s="47">
        <f>B38/6.25</f>
        <v>5.1200000000000002E-2</v>
      </c>
      <c r="E38" s="53">
        <v>2.2000000000000002</v>
      </c>
      <c r="F38" s="51">
        <v>0.2</v>
      </c>
      <c r="G38" s="51">
        <v>0.2</v>
      </c>
    </row>
    <row r="39" spans="1:7" ht="21.75" customHeight="1" x14ac:dyDescent="0.2">
      <c r="A39" s="43" t="s">
        <v>217</v>
      </c>
      <c r="B39" s="51">
        <v>0.3</v>
      </c>
      <c r="C39" s="51">
        <v>0.4</v>
      </c>
      <c r="D39" s="47">
        <f>B39/6.25</f>
        <v>4.8000000000000001E-2</v>
      </c>
      <c r="E39" s="53">
        <v>2</v>
      </c>
      <c r="F39" s="51">
        <v>0.1</v>
      </c>
      <c r="G39" s="51">
        <v>0.15</v>
      </c>
    </row>
    <row r="40" spans="1:7" ht="15" customHeight="1" x14ac:dyDescent="0.2">
      <c r="A40" s="37" t="s">
        <v>209</v>
      </c>
      <c r="F40" s="45">
        <f>SUM(F34:F39)</f>
        <v>0.99999999999999989</v>
      </c>
      <c r="G40" s="45">
        <f>SUM(G34:G39)</f>
        <v>1</v>
      </c>
    </row>
    <row r="41" spans="1:7" ht="15" customHeight="1" x14ac:dyDescent="0.2">
      <c r="A41" s="55" t="s">
        <v>229</v>
      </c>
      <c r="B41" s="56">
        <f>SUMPRODUCT(F34:F39,B34:B39)/SUM(F34:F39)</f>
        <v>0.34600000000000003</v>
      </c>
      <c r="C41" s="56">
        <f>SUMPRODUCT(F34:F39,C34:C39)/SUM(F34:F39)</f>
        <v>0.39100000000000007</v>
      </c>
      <c r="D41" s="57">
        <f>SUMPRODUCT(F34:F39,D34:D39)/SUM(F34:F39)</f>
        <v>5.5360000000000006E-2</v>
      </c>
      <c r="E41" s="42">
        <f>SUMPRODUCT(F34:F39,E34:E39)/SUM(F34:F39)</f>
        <v>2.4600000000000009</v>
      </c>
    </row>
    <row r="42" spans="1:7" ht="15" customHeight="1" x14ac:dyDescent="0.2">
      <c r="A42" s="55" t="s">
        <v>230</v>
      </c>
      <c r="B42" s="56">
        <f>SUMPRODUCT(G34:G39,B34:B39)/SUM(G34:G39)</f>
        <v>0.34299999999999997</v>
      </c>
      <c r="C42" s="56">
        <f>SUMPRODUCT(G34:G39,C34:C39)/SUM(G34:G39)</f>
        <v>0.39150000000000007</v>
      </c>
      <c r="D42" s="57">
        <f>SUMPRODUCT(G34:G39,D34:D39)/SUM(G34:G39)</f>
        <v>5.4879999999999998E-2</v>
      </c>
      <c r="E42" s="42">
        <f>SUMPRODUCT(G34:G39,E34:E39)/SUM(G34:G39)</f>
        <v>2.4299999999999997</v>
      </c>
    </row>
    <row r="43" spans="1:7" ht="24" customHeight="1" x14ac:dyDescent="0.2">
      <c r="A43" s="4" t="s">
        <v>231</v>
      </c>
      <c r="B43" s="4"/>
      <c r="C43" s="4"/>
      <c r="D43" s="4"/>
      <c r="E43" s="4"/>
      <c r="F43" s="4"/>
      <c r="G43" s="4"/>
    </row>
    <row r="45" spans="1:7" ht="15" customHeight="1" x14ac:dyDescent="0.2">
      <c r="A45" s="49" t="s">
        <v>232</v>
      </c>
    </row>
    <row r="46" spans="1:7" ht="27.75" customHeight="1" x14ac:dyDescent="0.2">
      <c r="A46" s="50" t="s">
        <v>95</v>
      </c>
      <c r="B46" s="50" t="s">
        <v>197</v>
      </c>
      <c r="C46" s="50" t="s">
        <v>200</v>
      </c>
      <c r="D46" s="50" t="s">
        <v>233</v>
      </c>
      <c r="E46" s="50" t="s">
        <v>202</v>
      </c>
    </row>
    <row r="47" spans="1:7" ht="15" customHeight="1" x14ac:dyDescent="0.2">
      <c r="A47" s="43" t="s">
        <v>96</v>
      </c>
      <c r="B47" s="47">
        <f>B11</f>
        <v>0.24330000000000004</v>
      </c>
      <c r="C47" s="47">
        <f>E11</f>
        <v>0.39249999999999996</v>
      </c>
      <c r="D47" s="47">
        <f>F11</f>
        <v>3.8928000000000004E-2</v>
      </c>
      <c r="E47" s="36">
        <f>G11</f>
        <v>0.61499999999999999</v>
      </c>
    </row>
    <row r="48" spans="1:7" ht="15" customHeight="1" x14ac:dyDescent="0.2">
      <c r="A48" s="43" t="s">
        <v>182</v>
      </c>
      <c r="B48" s="47">
        <f>B20</f>
        <v>0.27600000000000002</v>
      </c>
      <c r="C48" s="47">
        <f>C20</f>
        <v>0.39500000000000002</v>
      </c>
      <c r="D48" s="47">
        <f>D20</f>
        <v>4.4160000000000005E-2</v>
      </c>
      <c r="E48" s="36">
        <f>E20</f>
        <v>1.81</v>
      </c>
    </row>
    <row r="49" spans="1:5" ht="15" customHeight="1" x14ac:dyDescent="0.2">
      <c r="A49" s="43" t="s">
        <v>185</v>
      </c>
      <c r="B49" s="47">
        <f>B29</f>
        <v>0.28200000000000003</v>
      </c>
      <c r="C49" s="47">
        <f>C29</f>
        <v>0.39500000000000002</v>
      </c>
      <c r="D49" s="47">
        <f>D29</f>
        <v>4.512E-2</v>
      </c>
      <c r="E49" s="36">
        <f>E29</f>
        <v>1.81</v>
      </c>
    </row>
    <row r="50" spans="1:5" ht="15" customHeight="1" x14ac:dyDescent="0.2">
      <c r="A50" s="43" t="s">
        <v>188</v>
      </c>
      <c r="B50" s="47">
        <f>B41</f>
        <v>0.34600000000000003</v>
      </c>
      <c r="C50" s="47">
        <f>C41</f>
        <v>0.39100000000000007</v>
      </c>
      <c r="D50" s="47">
        <f>D41</f>
        <v>5.5360000000000006E-2</v>
      </c>
      <c r="E50" s="36">
        <f>E41</f>
        <v>2.4600000000000009</v>
      </c>
    </row>
    <row r="51" spans="1:5" ht="15" customHeight="1" x14ac:dyDescent="0.2">
      <c r="A51" s="43" t="s">
        <v>191</v>
      </c>
      <c r="B51" s="47">
        <f>B42</f>
        <v>0.34299999999999997</v>
      </c>
      <c r="C51" s="47">
        <f>C42</f>
        <v>0.39150000000000007</v>
      </c>
      <c r="D51" s="47">
        <f>D42</f>
        <v>5.4879999999999998E-2</v>
      </c>
      <c r="E51" s="36">
        <f>E42</f>
        <v>2.4299999999999997</v>
      </c>
    </row>
  </sheetData>
  <mergeCells count="6">
    <mergeCell ref="A43:G43"/>
    <mergeCell ref="A1:I1"/>
    <mergeCell ref="A2:I2"/>
    <mergeCell ref="A12:H12"/>
    <mergeCell ref="A21:G21"/>
    <mergeCell ref="A30:G30"/>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46"/>
  <sheetViews>
    <sheetView zoomScaleNormal="100" workbookViewId="0">
      <pane ySplit="3" topLeftCell="A4" activePane="bottomLeft" state="frozen"/>
      <selection pane="bottomLeft"/>
    </sheetView>
  </sheetViews>
  <sheetFormatPr defaultColWidth="8.7421875" defaultRowHeight="15" x14ac:dyDescent="0.2"/>
  <cols>
    <col min="1" max="1" width="16.0078125" style="13" customWidth="1"/>
    <col min="2" max="2" width="13.98828125" style="13" customWidth="1"/>
    <col min="3" max="3" width="16.0078125" style="13" customWidth="1"/>
    <col min="4" max="4" width="18.0234375" style="13" customWidth="1"/>
    <col min="5" max="5" width="16.0078125" style="13" customWidth="1"/>
    <col min="6" max="6" width="20.04296875" style="13" customWidth="1"/>
    <col min="7" max="7" width="18.0234375" style="13" customWidth="1"/>
    <col min="8" max="8" width="16.0078125" style="13" customWidth="1"/>
  </cols>
  <sheetData>
    <row r="1" spans="1:8" ht="17.25" customHeight="1" x14ac:dyDescent="0.2">
      <c r="A1" s="5" t="s">
        <v>60</v>
      </c>
      <c r="B1" s="5"/>
      <c r="C1" s="5"/>
      <c r="D1" s="5"/>
      <c r="E1" s="5"/>
      <c r="F1" s="5"/>
      <c r="G1" s="5"/>
    </row>
    <row r="2" spans="1:8" ht="15" customHeight="1" x14ac:dyDescent="0.2">
      <c r="A2" s="7" t="s">
        <v>234</v>
      </c>
      <c r="B2" s="7"/>
      <c r="C2" s="7"/>
      <c r="D2" s="7"/>
      <c r="E2" s="7"/>
      <c r="F2" s="7"/>
      <c r="G2" s="7"/>
    </row>
    <row r="4" spans="1:8" ht="19.5" customHeight="1" x14ac:dyDescent="0.2">
      <c r="A4" s="24" t="s">
        <v>235</v>
      </c>
      <c r="B4" s="25"/>
      <c r="C4" s="25"/>
      <c r="D4" s="25"/>
      <c r="E4" s="25"/>
      <c r="F4" s="25"/>
      <c r="G4" s="25"/>
    </row>
    <row r="5" spans="1:8" ht="25.5" customHeight="1" x14ac:dyDescent="0.2">
      <c r="A5" s="43" t="s">
        <v>125</v>
      </c>
      <c r="B5" s="58">
        <f>Dashboard!$B$17</f>
        <v>6250</v>
      </c>
      <c r="C5" s="28" t="s">
        <v>236</v>
      </c>
      <c r="D5" s="29"/>
    </row>
    <row r="6" spans="1:8" ht="25.5" customHeight="1" x14ac:dyDescent="0.2">
      <c r="A6" s="43" t="s">
        <v>107</v>
      </c>
      <c r="B6" s="36">
        <f>Dashboard!$B$10</f>
        <v>1</v>
      </c>
      <c r="C6" s="28" t="s">
        <v>108</v>
      </c>
      <c r="D6" s="29"/>
    </row>
    <row r="7" spans="1:8" ht="25.5" customHeight="1" x14ac:dyDescent="0.2">
      <c r="A7" s="43" t="s">
        <v>237</v>
      </c>
      <c r="B7" s="58">
        <f>B5*B6</f>
        <v>6250</v>
      </c>
      <c r="C7" s="28" t="s">
        <v>238</v>
      </c>
      <c r="D7" s="29" t="s">
        <v>239</v>
      </c>
    </row>
    <row r="8" spans="1:8" ht="25.5" customHeight="1" x14ac:dyDescent="0.2">
      <c r="A8" s="43" t="s">
        <v>240</v>
      </c>
      <c r="B8" s="59">
        <f>Dashboard!$B$18</f>
        <v>150</v>
      </c>
      <c r="C8" s="28" t="s">
        <v>241</v>
      </c>
      <c r="D8" s="29"/>
    </row>
    <row r="9" spans="1:8" ht="25.5" customHeight="1" x14ac:dyDescent="0.2">
      <c r="A9" s="43" t="s">
        <v>242</v>
      </c>
      <c r="B9" s="36">
        <f>Dashboard!$B$20</f>
        <v>1500</v>
      </c>
      <c r="C9" s="28" t="s">
        <v>241</v>
      </c>
      <c r="D9" s="29"/>
    </row>
    <row r="10" spans="1:8" ht="25.5" customHeight="1" x14ac:dyDescent="0.2">
      <c r="A10" s="43" t="s">
        <v>129</v>
      </c>
      <c r="B10" s="60">
        <f>Dashboard!$B$21</f>
        <v>240</v>
      </c>
      <c r="C10" s="28" t="s">
        <v>243</v>
      </c>
      <c r="D10" s="29"/>
    </row>
    <row r="11" spans="1:8" ht="25.5" customHeight="1" x14ac:dyDescent="0.2">
      <c r="A11" s="43" t="s">
        <v>130</v>
      </c>
      <c r="B11" s="45">
        <f>Dashboard!$B$22</f>
        <v>0.8</v>
      </c>
      <c r="C11" s="28" t="s">
        <v>244</v>
      </c>
      <c r="D11" s="29"/>
    </row>
    <row r="12" spans="1:8" ht="25.5" customHeight="1" x14ac:dyDescent="0.2">
      <c r="A12" s="43" t="s">
        <v>245</v>
      </c>
      <c r="B12" s="36">
        <f>Dashboard!$B$30</f>
        <v>3</v>
      </c>
      <c r="C12" s="28" t="s">
        <v>117</v>
      </c>
      <c r="D12" s="29"/>
    </row>
    <row r="13" spans="1:8" ht="25.5" customHeight="1" x14ac:dyDescent="0.2">
      <c r="A13" s="43" t="s">
        <v>246</v>
      </c>
      <c r="B13" s="61">
        <f>LN(B9/B8)/B10</f>
        <v>9.5941045541418583E-3</v>
      </c>
      <c r="C13" s="28" t="s">
        <v>247</v>
      </c>
      <c r="D13" s="29" t="s">
        <v>248</v>
      </c>
    </row>
    <row r="15" spans="1:8" ht="19.5" customHeight="1" x14ac:dyDescent="0.2">
      <c r="A15" s="24" t="s">
        <v>249</v>
      </c>
      <c r="B15" s="25"/>
      <c r="C15" s="25"/>
      <c r="D15" s="25"/>
      <c r="E15" s="25"/>
      <c r="F15" s="25"/>
      <c r="G15" s="25"/>
    </row>
    <row r="16" spans="1:8" ht="27.75" customHeight="1" x14ac:dyDescent="0.2">
      <c r="A16" s="19" t="s">
        <v>250</v>
      </c>
      <c r="B16" s="19" t="s">
        <v>251</v>
      </c>
      <c r="C16" s="19" t="s">
        <v>252</v>
      </c>
      <c r="D16" s="19" t="s">
        <v>253</v>
      </c>
      <c r="E16" s="19" t="s">
        <v>254</v>
      </c>
      <c r="F16" s="19" t="s">
        <v>255</v>
      </c>
      <c r="G16" s="19" t="s">
        <v>256</v>
      </c>
      <c r="H16" s="19" t="s">
        <v>257</v>
      </c>
    </row>
    <row r="17" spans="1:8" ht="19.5" customHeight="1" x14ac:dyDescent="0.2">
      <c r="A17" s="46">
        <v>1</v>
      </c>
      <c r="B17" s="60">
        <f>$B$10/6*1</f>
        <v>40</v>
      </c>
      <c r="C17" s="36">
        <f>IF($B$29="Logistic (Sigmoidal)",$B$30/(1+(($B$30-$B$8)/$B$8)*EXP(-$B$31*B17)),$B$8*EXP($B$13*B17))</f>
        <v>220.16989014331045</v>
      </c>
      <c r="D17" s="58">
        <f>$B$7*(1-(1-$B$11)*(B17/$B$10))</f>
        <v>6041.666666666667</v>
      </c>
      <c r="E17" s="62">
        <f>C17*D17/1000</f>
        <v>1330.1930862825009</v>
      </c>
      <c r="F17" s="62">
        <f>(MAX(0,E17-($B$8*$B$7/1000))+$B$32*(($B$7-D17)*(($B$8+C17)/2)/1000))*$B$12*H17</f>
        <v>1235.9183041823949</v>
      </c>
      <c r="G17" s="62">
        <f>F17</f>
        <v>1235.9183041823949</v>
      </c>
      <c r="H17" s="63">
        <v>1</v>
      </c>
    </row>
    <row r="18" spans="1:8" ht="19.5" customHeight="1" x14ac:dyDescent="0.2">
      <c r="A18" s="46">
        <v>2</v>
      </c>
      <c r="B18" s="60">
        <f>$B$10/6*2</f>
        <v>80</v>
      </c>
      <c r="C18" s="36">
        <f>IF($B$29="Logistic (Sigmoidal)",$B$30/(1+(($B$30-$B$8)/$B$8)*EXP(-$B$31*B18)),$B$8*EXP($B$13*B18))</f>
        <v>323.1652035047826</v>
      </c>
      <c r="D18" s="58">
        <f>$B$7*(1-(1-$B$11)*(B18/$B$10))</f>
        <v>5833.333333333333</v>
      </c>
      <c r="E18" s="62">
        <f>C18*D18/1000</f>
        <v>1885.1303537778986</v>
      </c>
      <c r="F18" s="62">
        <f>(MAX(0,E18-E17)+$B$32*((D17-D18)*((C17+C18)/2)/1000))*$B$12*H18</f>
        <v>1749.707910868708</v>
      </c>
      <c r="G18" s="62">
        <f>G17+F18</f>
        <v>2985.6262150511029</v>
      </c>
      <c r="H18" s="63">
        <v>1</v>
      </c>
    </row>
    <row r="19" spans="1:8" ht="19.5" customHeight="1" x14ac:dyDescent="0.2">
      <c r="A19" s="46">
        <v>3</v>
      </c>
      <c r="B19" s="60">
        <f>$B$10/6*3</f>
        <v>120</v>
      </c>
      <c r="C19" s="36">
        <f>IF($B$29="Logistic (Sigmoidal)",$B$30/(1+(($B$30-$B$8)/$B$8)*EXP(-$B$31*B19)),$B$8*EXP($B$13*B19))</f>
        <v>474.34164902525691</v>
      </c>
      <c r="D19" s="58">
        <f>$B$7*(1-(1-$B$11)*(B19/$B$10))</f>
        <v>5625</v>
      </c>
      <c r="E19" s="62">
        <f>C19*D19/1000</f>
        <v>2668.1717757670704</v>
      </c>
      <c r="F19" s="62">
        <f>(MAX(0,E19-E18)+$B$32*((D18-D19)*((C18+C19)/2)/1000))*$B$12*H19</f>
        <v>2473.7347116753335</v>
      </c>
      <c r="G19" s="62">
        <f>G18+F19</f>
        <v>5459.3609267264364</v>
      </c>
      <c r="H19" s="63">
        <v>1</v>
      </c>
    </row>
    <row r="20" spans="1:8" ht="19.5" customHeight="1" x14ac:dyDescent="0.2">
      <c r="A20" s="46">
        <v>4</v>
      </c>
      <c r="B20" s="60">
        <f>$B$10/6*4</f>
        <v>160</v>
      </c>
      <c r="C20" s="36">
        <f>IF($B$29="Logistic (Sigmoidal)",$B$30/(1+(($B$30-$B$8)/$B$8)*EXP(-$B$31*B20)),$B$8*EXP($B$13*B20))</f>
        <v>696.23832504191694</v>
      </c>
      <c r="D20" s="58">
        <f>$B$7*(1-(1-$B$11)*(B20/$B$10))</f>
        <v>5416.666666666667</v>
      </c>
      <c r="E20" s="62">
        <f>C20*D20/1000</f>
        <v>3771.2909273103833</v>
      </c>
      <c r="F20" s="62">
        <f>(MAX(0,E20-E19)+$B$32*((D19-D20)*((C19+C20)/2)/1000))*$B$12*H20</f>
        <v>3492.2605755779346</v>
      </c>
      <c r="G20" s="62">
        <f>G19+F20</f>
        <v>8951.6215023043715</v>
      </c>
      <c r="H20" s="63">
        <v>1</v>
      </c>
    </row>
    <row r="21" spans="1:8" ht="19.5" customHeight="1" x14ac:dyDescent="0.2">
      <c r="A21" s="46">
        <v>5</v>
      </c>
      <c r="B21" s="60">
        <f>$B$10/6*5</f>
        <v>200</v>
      </c>
      <c r="C21" s="36">
        <f>IF($B$29="Logistic (Sigmoidal)",$B$30/(1+(($B$30-$B$8)/$B$8)*EXP(-$B$31*B21)),$B$8*EXP($B$13*B21))</f>
        <v>1021.9381035869421</v>
      </c>
      <c r="D21" s="58">
        <f>$B$7*(1-(1-$B$11)*(B21/$B$10))</f>
        <v>5208.3333333333339</v>
      </c>
      <c r="E21" s="62">
        <f>C21*D21/1000</f>
        <v>5322.5942895153239</v>
      </c>
      <c r="F21" s="62">
        <f>(MAX(0,E21-E20)+$B$32*((D20-D21)*((C20+C21)/2)/1000))*$B$12*H21</f>
        <v>4922.3751535880801</v>
      </c>
      <c r="G21" s="62">
        <f>G20+F21</f>
        <v>13873.996655892452</v>
      </c>
      <c r="H21" s="63">
        <v>1</v>
      </c>
    </row>
    <row r="22" spans="1:8" ht="19.5" customHeight="1" x14ac:dyDescent="0.2">
      <c r="A22" s="46">
        <v>6</v>
      </c>
      <c r="B22" s="60">
        <f>$B$10/6*6</f>
        <v>240</v>
      </c>
      <c r="C22" s="36">
        <f>IF($B$29="Logistic (Sigmoidal)",$B$30/(1+(($B$30-$B$8)/$B$8)*EXP(-$B$31*B22)),$B$8*EXP($B$13*B22))</f>
        <v>1500.0000000000002</v>
      </c>
      <c r="D22" s="58">
        <f>$B$7*(1-(1-$B$11)*(B22/$B$10))</f>
        <v>5000</v>
      </c>
      <c r="E22" s="62">
        <f>C22*D22/1000</f>
        <v>7500.0000000000009</v>
      </c>
      <c r="F22" s="62">
        <f>(MAX(0,E22-E21)+$B$32*((D21-D22)*((C21+C22)/2)/1000))*$B$12*H22</f>
        <v>6926.2699601394925</v>
      </c>
      <c r="G22" s="64">
        <f>G21+F22</f>
        <v>20800.266616031942</v>
      </c>
      <c r="H22" s="63">
        <v>1</v>
      </c>
    </row>
    <row r="23" spans="1:8" ht="30" customHeight="1" x14ac:dyDescent="0.2">
      <c r="A23" s="4" t="s">
        <v>258</v>
      </c>
      <c r="B23" s="4"/>
      <c r="C23" s="4"/>
      <c r="D23" s="4"/>
      <c r="E23" s="4"/>
      <c r="F23" s="4"/>
      <c r="G23" s="4"/>
      <c r="H23" s="4"/>
    </row>
    <row r="24" spans="1:8" ht="19.5" customHeight="1" x14ac:dyDescent="0.2">
      <c r="A24" s="24" t="s">
        <v>259</v>
      </c>
      <c r="B24" s="25"/>
      <c r="C24" s="25"/>
      <c r="D24" s="25"/>
      <c r="E24" s="25"/>
      <c r="F24" s="25"/>
      <c r="G24" s="25"/>
    </row>
    <row r="25" spans="1:8" ht="25.5" customHeight="1" x14ac:dyDescent="0.2">
      <c r="A25" s="26" t="s">
        <v>260</v>
      </c>
      <c r="B25" s="65">
        <f>G22</f>
        <v>20800.266616031942</v>
      </c>
      <c r="C25" s="28" t="s">
        <v>142</v>
      </c>
      <c r="D25" s="29" t="s">
        <v>261</v>
      </c>
    </row>
    <row r="26" spans="1:8" ht="25.5" customHeight="1" x14ac:dyDescent="0.2">
      <c r="A26" s="26" t="s">
        <v>262</v>
      </c>
      <c r="B26" s="65">
        <f>E22</f>
        <v>7500.0000000000009</v>
      </c>
      <c r="C26" s="28" t="s">
        <v>142</v>
      </c>
      <c r="D26" s="29" t="s">
        <v>263</v>
      </c>
    </row>
    <row r="28" spans="1:8" ht="19.5" customHeight="1" x14ac:dyDescent="0.2">
      <c r="A28" s="24" t="s">
        <v>264</v>
      </c>
      <c r="B28" s="25"/>
      <c r="C28" s="25"/>
      <c r="D28" s="25"/>
      <c r="E28" s="25"/>
      <c r="F28" s="25"/>
      <c r="G28" s="25"/>
      <c r="H28" s="25"/>
    </row>
    <row r="29" spans="1:8" ht="25.5" customHeight="1" x14ac:dyDescent="0.2">
      <c r="A29" s="26" t="s">
        <v>265</v>
      </c>
      <c r="B29" s="30" t="s">
        <v>266</v>
      </c>
      <c r="C29" s="28" t="s">
        <v>267</v>
      </c>
      <c r="D29" s="29" t="s">
        <v>268</v>
      </c>
    </row>
    <row r="30" spans="1:8" ht="25.5" customHeight="1" x14ac:dyDescent="0.2">
      <c r="A30" s="43" t="s">
        <v>269</v>
      </c>
      <c r="B30" s="36">
        <f>B9/0.98</f>
        <v>1530.6122448979593</v>
      </c>
      <c r="C30" s="28" t="s">
        <v>241</v>
      </c>
      <c r="D30" s="29" t="s">
        <v>270</v>
      </c>
    </row>
    <row r="31" spans="1:8" ht="25.5" customHeight="1" x14ac:dyDescent="0.2">
      <c r="A31" s="43" t="s">
        <v>271</v>
      </c>
      <c r="B31" s="61">
        <f>-LN((B30/B9-1)*B8/(B30-B8))/B10</f>
        <v>2.5464447247927825E-2</v>
      </c>
      <c r="C31" s="28" t="s">
        <v>247</v>
      </c>
      <c r="D31" s="29" t="s">
        <v>272</v>
      </c>
    </row>
    <row r="32" spans="1:8" ht="25.5" customHeight="1" x14ac:dyDescent="0.2">
      <c r="A32" s="26" t="s">
        <v>273</v>
      </c>
      <c r="B32" s="63">
        <v>0.5</v>
      </c>
      <c r="C32" s="28" t="s">
        <v>274</v>
      </c>
      <c r="D32" s="29" t="s">
        <v>275</v>
      </c>
    </row>
    <row r="34" spans="1:7" ht="19.5" customHeight="1" x14ac:dyDescent="0.2">
      <c r="A34" s="66" t="s">
        <v>276</v>
      </c>
      <c r="B34" s="25"/>
      <c r="C34" s="25"/>
      <c r="D34" s="25"/>
      <c r="E34" s="25"/>
      <c r="F34" s="25"/>
      <c r="G34" s="25"/>
    </row>
    <row r="35" spans="1:7" ht="45.75" customHeight="1" x14ac:dyDescent="0.2">
      <c r="A35" s="4" t="s">
        <v>277</v>
      </c>
      <c r="B35" s="4"/>
      <c r="C35" s="4"/>
      <c r="D35" s="4"/>
      <c r="E35" s="4"/>
      <c r="F35" s="4"/>
      <c r="G35" s="4"/>
    </row>
    <row r="36" spans="1:7" ht="33.75" customHeight="1" x14ac:dyDescent="0.2">
      <c r="A36" s="19" t="s">
        <v>278</v>
      </c>
      <c r="B36" s="19" t="s">
        <v>279</v>
      </c>
      <c r="C36" s="19" t="s">
        <v>280</v>
      </c>
      <c r="D36" s="19" t="s">
        <v>281</v>
      </c>
      <c r="E36" s="19" t="s">
        <v>282</v>
      </c>
      <c r="F36" s="19" t="s">
        <v>283</v>
      </c>
      <c r="G36" s="19" t="s">
        <v>284</v>
      </c>
    </row>
    <row r="37" spans="1:7" ht="19.5" customHeight="1" x14ac:dyDescent="0.2">
      <c r="A37" s="67">
        <v>0.1</v>
      </c>
      <c r="B37" s="67">
        <v>0.1</v>
      </c>
      <c r="C37" s="68">
        <v>2.64</v>
      </c>
      <c r="D37" s="68">
        <v>4</v>
      </c>
      <c r="E37" s="68">
        <v>6.64</v>
      </c>
      <c r="F37" s="68">
        <v>3.3</v>
      </c>
      <c r="G37" s="69" t="str">
        <f>CONCATENATE(ROUND(((A37+B37/2)*(E37/100)*30)/B37,2)," / ",ROUND(((A37+B37/2)*(F37/100)*30)/B37,2))</f>
        <v>2.99 / 1.49</v>
      </c>
    </row>
    <row r="38" spans="1:7" ht="19.5" customHeight="1" x14ac:dyDescent="0.2">
      <c r="A38" s="67">
        <v>0.2</v>
      </c>
      <c r="B38" s="67">
        <v>0.12</v>
      </c>
      <c r="C38" s="68">
        <v>1.6</v>
      </c>
      <c r="D38" s="68">
        <v>2.4</v>
      </c>
      <c r="E38" s="68">
        <v>4</v>
      </c>
      <c r="F38" s="68">
        <v>2</v>
      </c>
      <c r="G38" s="69" t="str">
        <f>CONCATENATE(ROUND(((A38+B38/2)*(E38/100)*30)/B38,2)," / ",ROUND(((A38+B38/2)*(F38/100)*30)/B38,2))</f>
        <v>2.6 / 1.3</v>
      </c>
    </row>
    <row r="39" spans="1:7" ht="19.5" customHeight="1" x14ac:dyDescent="0.2">
      <c r="A39" s="67">
        <v>0.32</v>
      </c>
      <c r="B39" s="67">
        <v>0.12</v>
      </c>
      <c r="C39" s="68">
        <v>1</v>
      </c>
      <c r="D39" s="68">
        <v>1.5</v>
      </c>
      <c r="E39" s="68">
        <v>2.5</v>
      </c>
      <c r="F39" s="68">
        <v>1.4</v>
      </c>
      <c r="G39" s="69" t="str">
        <f>CONCATENATE(ROUND(((A39+B39/2)*(E39/100)*30)/B39,2)," / ",ROUND(((A39+B39/2)*(F39/100)*30)/B39,2))</f>
        <v>2.38 / 1.33</v>
      </c>
    </row>
    <row r="40" spans="1:7" ht="19.5" customHeight="1" x14ac:dyDescent="0.2">
      <c r="A40" s="67">
        <v>0.44</v>
      </c>
      <c r="B40" s="67">
        <v>0.12</v>
      </c>
      <c r="C40" s="68">
        <v>0.72</v>
      </c>
      <c r="D40" s="68">
        <v>1.1000000000000001</v>
      </c>
      <c r="E40" s="68">
        <v>1.82</v>
      </c>
      <c r="F40" s="68">
        <v>1.1499999999999999</v>
      </c>
      <c r="G40" s="69" t="str">
        <f>CONCATENATE(ROUND(((A40+B40/2)*(E40/100)*30)/B40,2)," / ",ROUND(((A40+B40/2)*(F40/100)*30)/B40,2))</f>
        <v>2.28 / 1.44</v>
      </c>
    </row>
    <row r="41" spans="1:7" ht="19.5" customHeight="1" x14ac:dyDescent="0.2">
      <c r="A41" s="67">
        <v>0.56000000000000005</v>
      </c>
      <c r="B41" s="67">
        <v>0.15</v>
      </c>
      <c r="C41" s="68">
        <v>0.7</v>
      </c>
      <c r="D41" s="68">
        <v>1.1000000000000001</v>
      </c>
      <c r="E41" s="68">
        <v>1.8</v>
      </c>
      <c r="F41" s="68">
        <v>1</v>
      </c>
      <c r="G41" s="69" t="str">
        <f>CONCATENATE(ROUND(((A41+B41/2)*(E41/100)*30)/B41,2)," / ",ROUND(((A41+B41/2)*(F41/100)*30)/B41,2))</f>
        <v>2.29 / 1.27</v>
      </c>
    </row>
    <row r="42" spans="1:7" ht="19.5" customHeight="1" x14ac:dyDescent="0.2">
      <c r="A42" s="67">
        <v>0.71</v>
      </c>
      <c r="B42" s="67">
        <v>0.15</v>
      </c>
      <c r="C42" s="68">
        <v>0.56000000000000005</v>
      </c>
      <c r="D42" s="68">
        <v>0.8</v>
      </c>
      <c r="E42" s="68">
        <v>1.36</v>
      </c>
      <c r="F42" s="68">
        <v>0.8</v>
      </c>
      <c r="G42" s="69" t="str">
        <f>CONCATENATE(ROUND(((A42+B42/2)*(E42/100)*30)/B42,2)," / ",ROUND(((A42+B42/2)*(F42/100)*30)/B42,2))</f>
        <v>2.14 / 1.26</v>
      </c>
    </row>
    <row r="43" spans="1:7" ht="19.5" customHeight="1" x14ac:dyDescent="0.2">
      <c r="A43" s="67">
        <v>0.86</v>
      </c>
      <c r="B43" s="67">
        <v>0.18</v>
      </c>
      <c r="C43" s="68">
        <v>0.55000000000000004</v>
      </c>
      <c r="D43" s="68">
        <v>0.8</v>
      </c>
      <c r="E43" s="68">
        <v>1.35</v>
      </c>
      <c r="F43" s="68">
        <v>0.75</v>
      </c>
      <c r="G43" s="69" t="str">
        <f>CONCATENATE(ROUND(((A43+B43/2)*(E43/100)*30)/B43,2)," / ",ROUND(((A43+B43/2)*(F43/100)*30)/B43,2))</f>
        <v>2.14 / 1.19</v>
      </c>
    </row>
    <row r="44" spans="1:7" ht="19.5" customHeight="1" x14ac:dyDescent="0.2">
      <c r="A44" s="67">
        <v>1.04</v>
      </c>
      <c r="B44" s="67">
        <v>0.18</v>
      </c>
      <c r="C44" s="68">
        <v>0.46</v>
      </c>
      <c r="D44" s="68">
        <v>0.7</v>
      </c>
      <c r="E44" s="68">
        <v>1.1599999999999999</v>
      </c>
      <c r="F44" s="68">
        <v>0.75</v>
      </c>
      <c r="G44" s="69" t="str">
        <f>CONCATENATE(ROUND(((A44+B44/2)*(E44/100)*30)/B44,2)," / ",ROUND(((A44+B44/2)*(F44/100)*30)/B44,2))</f>
        <v>2.18 / 1.41</v>
      </c>
    </row>
    <row r="46" spans="1:7" ht="30" customHeight="1" x14ac:dyDescent="0.2">
      <c r="A46" s="3" t="s">
        <v>285</v>
      </c>
      <c r="B46" s="3"/>
      <c r="C46" s="3"/>
      <c r="D46" s="3"/>
      <c r="E46" s="70">
        <f>ROUND((((A37+B37/2)*(E37/100)*30)+((A38+B38/2)*(E38/100)*30)+((A39+B39/2)*(E39/100)*30)+((A40+B40/2)*(E40/100)*30)+((A41+B41/2)*(E41/100)*30)+((A42+B42/2)*(E42/100)*30)+((A43+B43/2)*(E43/100)*30)+((A44+B44/2)*(E44/100)*30))/SUM(B37:B44),2)</f>
        <v>2.33</v>
      </c>
      <c r="F46" s="70">
        <f>ROUND((((A37+B37/2)*(F37/100)*30)+((A38+B38/2)*(F38/100)*30)+((A39+B39/2)*(F39/100)*30)+((A40+B40/2)*(F40/100)*30)+((A41+B41/2)*(F41/100)*30)+((A42+B42/2)*(F42/100)*30)+((A43+B43/2)*(F43/100)*30)+((A44+B44/2)*(F44/100)*30))/SUM(B37:B44),2)</f>
        <v>1.32</v>
      </c>
      <c r="G46" s="37" t="s">
        <v>286</v>
      </c>
    </row>
  </sheetData>
  <mergeCells count="5">
    <mergeCell ref="A1:G1"/>
    <mergeCell ref="A2:G2"/>
    <mergeCell ref="A23:H23"/>
    <mergeCell ref="A35:G35"/>
    <mergeCell ref="A46:D46"/>
  </mergeCells>
  <dataValidations count="1">
    <dataValidation type="list" sqref="B29" xr:uid="{00000000-0002-0000-0500-000000000000}">
      <formula1>"Exponential (SGR),Logistic (Sigmoidal)"</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6"/>
  <sheetViews>
    <sheetView zoomScaleNormal="100" workbookViewId="0">
      <pane ySplit="8" topLeftCell="A9" activePane="bottomLeft" state="frozen"/>
      <selection pane="bottomLeft"/>
    </sheetView>
  </sheetViews>
  <sheetFormatPr defaultColWidth="8.7421875" defaultRowHeight="15" x14ac:dyDescent="0.2"/>
  <cols>
    <col min="1" max="1" width="18.0234375" style="13" customWidth="1"/>
    <col min="2" max="2" width="7.93359375" style="13" customWidth="1"/>
    <col min="3" max="3" width="13.98828125" style="13" customWidth="1"/>
    <col min="4" max="4" width="13.046875" style="13" customWidth="1"/>
    <col min="5" max="5" width="14.9296875" style="13" customWidth="1"/>
    <col min="6" max="6" width="13.046875" style="13" customWidth="1"/>
    <col min="7" max="8" width="14.9296875" style="13" customWidth="1"/>
    <col min="9" max="9" width="16.0078125" style="13" customWidth="1"/>
  </cols>
  <sheetData>
    <row r="1" spans="1:9" ht="17.25" customHeight="1" x14ac:dyDescent="0.2">
      <c r="A1" s="5" t="s">
        <v>45</v>
      </c>
      <c r="B1" s="5"/>
      <c r="C1" s="5"/>
      <c r="D1" s="5"/>
      <c r="E1" s="5"/>
      <c r="F1" s="5"/>
      <c r="G1" s="5"/>
      <c r="H1" s="5"/>
      <c r="I1" s="5"/>
    </row>
    <row r="2" spans="1:9" ht="15" customHeight="1" x14ac:dyDescent="0.2">
      <c r="A2" s="7" t="s">
        <v>287</v>
      </c>
      <c r="B2" s="7"/>
      <c r="C2" s="7"/>
      <c r="D2" s="7"/>
      <c r="E2" s="7"/>
      <c r="F2" s="7"/>
      <c r="G2" s="7"/>
      <c r="H2" s="7"/>
      <c r="I2" s="7"/>
    </row>
    <row r="3" spans="1:9" ht="15" customHeight="1" x14ac:dyDescent="0.2">
      <c r="A3" s="6" t="s">
        <v>288</v>
      </c>
      <c r="B3" s="6"/>
      <c r="C3" s="6"/>
      <c r="D3" s="6"/>
      <c r="E3" s="6"/>
      <c r="F3" s="6"/>
      <c r="G3" s="6"/>
      <c r="H3" s="6"/>
      <c r="I3" s="6"/>
    </row>
    <row r="5" spans="1:9" ht="25.5" customHeight="1" x14ac:dyDescent="0.2">
      <c r="A5" s="26" t="s">
        <v>289</v>
      </c>
      <c r="B5" s="65">
        <f>'Growth &amp; Feed Model'!B7</f>
        <v>6250</v>
      </c>
      <c r="C5" s="28" t="s">
        <v>238</v>
      </c>
      <c r="D5" s="29"/>
    </row>
    <row r="6" spans="1:9" ht="25.5" customHeight="1" x14ac:dyDescent="0.2">
      <c r="A6" s="26" t="s">
        <v>290</v>
      </c>
      <c r="B6" s="65">
        <f>'Growth &amp; Feed Model'!B26</f>
        <v>7500.0000000000009</v>
      </c>
      <c r="C6" s="28" t="s">
        <v>142</v>
      </c>
      <c r="D6" s="29" t="s">
        <v>291</v>
      </c>
    </row>
    <row r="8" spans="1:9" ht="19.5" customHeight="1" x14ac:dyDescent="0.2">
      <c r="A8" s="24" t="s">
        <v>292</v>
      </c>
      <c r="B8" s="25"/>
      <c r="C8" s="25"/>
      <c r="D8" s="25"/>
      <c r="E8" s="25"/>
      <c r="F8" s="25"/>
      <c r="G8" s="25"/>
      <c r="H8" s="25"/>
      <c r="I8" s="25"/>
    </row>
    <row r="9" spans="1:9" ht="39.75" customHeight="1" x14ac:dyDescent="0.2">
      <c r="A9" s="19" t="s">
        <v>293</v>
      </c>
      <c r="B9" s="19" t="s">
        <v>251</v>
      </c>
      <c r="C9" s="19" t="s">
        <v>294</v>
      </c>
      <c r="D9" s="19" t="s">
        <v>295</v>
      </c>
      <c r="E9" s="19" t="s">
        <v>296</v>
      </c>
      <c r="F9" s="19" t="s">
        <v>297</v>
      </c>
      <c r="G9" s="19" t="s">
        <v>298</v>
      </c>
      <c r="H9" s="19" t="s">
        <v>299</v>
      </c>
      <c r="I9" s="19" t="s">
        <v>300</v>
      </c>
    </row>
    <row r="10" spans="1:9" ht="21.75" customHeight="1" x14ac:dyDescent="0.2">
      <c r="A10" s="43" t="s">
        <v>301</v>
      </c>
      <c r="B10" s="71">
        <f>IFERROR(INDEX($B$22:$B$26,MATCH(Dashboard!$B$5,$A$22:$A$26,0)),"")</f>
        <v>200</v>
      </c>
      <c r="C10" s="71">
        <f>IFERROR(INDEX($C$22:$C$26,MATCH(Dashboard!$B$5,$A$22:$A$26,0)),"")</f>
        <v>0</v>
      </c>
      <c r="D10" s="72">
        <f>IF(OR(C10="",C10=0),IF(OR(B10="",B10=0),"",IF('Growth &amp; Feed Model'!$B$29="Logistic (Sigmoidal)",'Growth &amp; Feed Model'!$B$30/(1+(('Growth &amp; Feed Model'!$B$30-'Growth &amp; Feed Model'!$B$8)/'Growth &amp; Feed Model'!$B$8)*EXP(-'Growth &amp; Feed Model'!$B$31*B10)),'Growth &amp; Feed Model'!$B$8*EXP('Growth &amp; Feed Model'!$B$13*B10))),1000/C10)</f>
        <v>1021.9381035869421</v>
      </c>
      <c r="E10" s="58">
        <f>$B$5</f>
        <v>6250</v>
      </c>
      <c r="F10" s="73">
        <f>IFERROR(INDEX($D$22:$D$26,MATCH(Dashboard!$B$5,$A$22:$A$26,0)),"")</f>
        <v>0.2</v>
      </c>
      <c r="G10" s="58">
        <f>E10*F10</f>
        <v>1250</v>
      </c>
      <c r="H10" s="65">
        <f>IF(D10="",0,G10*D10/1000)</f>
        <v>1277.4226294836776</v>
      </c>
      <c r="I10" s="58">
        <f>E10-G10</f>
        <v>5000</v>
      </c>
    </row>
    <row r="11" spans="1:9" ht="21.75" customHeight="1" x14ac:dyDescent="0.2">
      <c r="A11" s="43" t="s">
        <v>302</v>
      </c>
      <c r="B11" s="71">
        <f>IFERROR(INDEX($E$22:$E$26,MATCH(Dashboard!$B$5,$A$22:$A$26,0)),"")</f>
        <v>240</v>
      </c>
      <c r="C11" s="71">
        <f>IFERROR(INDEX($F$22:$F$26,MATCH(Dashboard!$B$5,$A$22:$A$26,0)),"")</f>
        <v>0</v>
      </c>
      <c r="D11" s="72">
        <f>IF(OR(C11="",C11=0),IF(OR(B11="",B11=0),"",IF('Growth &amp; Feed Model'!$B$29="Logistic (Sigmoidal)",'Growth &amp; Feed Model'!$B$30/(1+(('Growth &amp; Feed Model'!$B$30-'Growth &amp; Feed Model'!$B$8)/'Growth &amp; Feed Model'!$B$8)*EXP(-'Growth &amp; Feed Model'!$B$31*B11)),'Growth &amp; Feed Model'!$B$8*EXP('Growth &amp; Feed Model'!$B$13*B11))),1000/C11)</f>
        <v>1500.0000000000002</v>
      </c>
      <c r="E11" s="58">
        <f>I10</f>
        <v>5000</v>
      </c>
      <c r="F11" s="73">
        <f>IFERROR(INDEX($G$22:$G$26,MATCH(Dashboard!$B$5,$A$22:$A$26,0)),"")</f>
        <v>1</v>
      </c>
      <c r="G11" s="58">
        <f>E11*F11</f>
        <v>5000</v>
      </c>
      <c r="H11" s="65">
        <f>IF(D11="",0,G11*D11/1000)</f>
        <v>7500.0000000000009</v>
      </c>
      <c r="I11" s="58">
        <f>E11-G11</f>
        <v>0</v>
      </c>
    </row>
    <row r="12" spans="1:9" ht="21.75" customHeight="1" x14ac:dyDescent="0.2">
      <c r="A12" s="43" t="s">
        <v>303</v>
      </c>
      <c r="B12" s="71">
        <f>IFERROR(INDEX($H$22:$H$26,MATCH(Dashboard!$B$5,$A$22:$A$26,0)),"")</f>
        <v>0</v>
      </c>
      <c r="C12" s="71">
        <f>IFERROR(INDEX($I$22:$I$26,MATCH(Dashboard!$B$5,$A$22:$A$26,0)),"")</f>
        <v>0</v>
      </c>
      <c r="D12" s="72" t="str">
        <f>IF(OR(C12="",C12=0),IF(OR(B12="",B12=0),"",IF('Growth &amp; Feed Model'!$B$29="Logistic (Sigmoidal)",'Growth &amp; Feed Model'!$B$30/(1+(('Growth &amp; Feed Model'!$B$30-'Growth &amp; Feed Model'!$B$8)/'Growth &amp; Feed Model'!$B$8)*EXP(-'Growth &amp; Feed Model'!$B$31*B12)),'Growth &amp; Feed Model'!$B$8*EXP('Growth &amp; Feed Model'!$B$13*B12))),1000/C12)</f>
        <v/>
      </c>
      <c r="E12" s="58">
        <f>I11</f>
        <v>0</v>
      </c>
      <c r="F12" s="73">
        <f>IFERROR(INDEX($J$22:$J$26,MATCH(Dashboard!$B$5,$A$22:$A$26,0)),"")</f>
        <v>0</v>
      </c>
      <c r="G12" s="58">
        <f>E12*F12</f>
        <v>0</v>
      </c>
      <c r="H12" s="65">
        <f>IF(D12="",0,G12*D12/1000)</f>
        <v>0</v>
      </c>
      <c r="I12" s="58">
        <f>E12-G12</f>
        <v>0</v>
      </c>
    </row>
    <row r="13" spans="1:9" ht="21.75" customHeight="1" x14ac:dyDescent="0.2">
      <c r="A13" s="43" t="s">
        <v>304</v>
      </c>
      <c r="B13" s="71">
        <f>IFERROR(INDEX($K$22:$K$26,MATCH(Dashboard!$B$5,$A$22:$A$26,0)),"")</f>
        <v>0</v>
      </c>
      <c r="C13" s="71">
        <f>IFERROR(INDEX($L$22:$L$26,MATCH(Dashboard!$B$5,$A$22:$A$26,0)),"")</f>
        <v>0</v>
      </c>
      <c r="D13" s="72" t="str">
        <f>IF(OR(C13="",C13=0),IF(OR(B13="",B13=0),"",IF('Growth &amp; Feed Model'!$B$29="Logistic (Sigmoidal)",'Growth &amp; Feed Model'!$B$30/(1+(('Growth &amp; Feed Model'!$B$30-'Growth &amp; Feed Model'!$B$8)/'Growth &amp; Feed Model'!$B$8)*EXP(-'Growth &amp; Feed Model'!$B$31*B13)),'Growth &amp; Feed Model'!$B$8*EXP('Growth &amp; Feed Model'!$B$13*B13))),1000/C13)</f>
        <v/>
      </c>
      <c r="E13" s="58">
        <f>I12</f>
        <v>0</v>
      </c>
      <c r="F13" s="73">
        <f>IFERROR(INDEX($M$22:$M$26,MATCH(Dashboard!$B$5,$A$22:$A$26,0)),"")</f>
        <v>0</v>
      </c>
      <c r="G13" s="58">
        <f>E13*F13</f>
        <v>0</v>
      </c>
      <c r="H13" s="65">
        <f>IF(D13="",0,G13*D13/1000)</f>
        <v>0</v>
      </c>
      <c r="I13" s="58">
        <f>E13-G13</f>
        <v>0</v>
      </c>
    </row>
    <row r="15" spans="1:9" ht="25.5" customHeight="1" x14ac:dyDescent="0.2">
      <c r="A15" s="38" t="s">
        <v>305</v>
      </c>
      <c r="B15" s="39">
        <f>SUM(H10:H13)</f>
        <v>8777.422629483679</v>
      </c>
      <c r="C15" s="74" t="s">
        <v>142</v>
      </c>
      <c r="D15" s="75" t="s">
        <v>306</v>
      </c>
      <c r="E15" s="76"/>
    </row>
    <row r="16" spans="1:9" ht="25.5" customHeight="1" x14ac:dyDescent="0.2">
      <c r="A16" s="43" t="s">
        <v>307</v>
      </c>
      <c r="B16" s="77">
        <f>B15-B6</f>
        <v>1277.4226294836781</v>
      </c>
      <c r="C16" s="28" t="s">
        <v>142</v>
      </c>
      <c r="D16" s="29" t="s">
        <v>308</v>
      </c>
    </row>
    <row r="17" spans="1:13" ht="25.5" customHeight="1" x14ac:dyDescent="0.2">
      <c r="A17" s="43" t="s">
        <v>309</v>
      </c>
      <c r="B17" s="78">
        <f>B16/B6</f>
        <v>0.1703230172644904</v>
      </c>
      <c r="C17" s="28" t="s">
        <v>244</v>
      </c>
      <c r="D17" s="29"/>
    </row>
    <row r="19" spans="1:13" ht="19.5" customHeight="1" x14ac:dyDescent="0.2">
      <c r="A19" s="24" t="s">
        <v>310</v>
      </c>
      <c r="B19" s="25"/>
      <c r="C19" s="25"/>
      <c r="D19" s="25"/>
      <c r="E19" s="25"/>
      <c r="F19" s="25"/>
      <c r="G19" s="25"/>
      <c r="H19" s="25"/>
      <c r="I19" s="25"/>
      <c r="J19" s="25"/>
      <c r="K19" s="25"/>
      <c r="L19" s="25"/>
      <c r="M19" s="25"/>
    </row>
    <row r="20" spans="1:13" ht="39.75" customHeight="1" x14ac:dyDescent="0.2">
      <c r="A20" s="4" t="s">
        <v>311</v>
      </c>
      <c r="B20" s="4"/>
      <c r="C20" s="4"/>
      <c r="D20" s="4"/>
      <c r="E20" s="4"/>
      <c r="F20" s="4"/>
      <c r="G20" s="4"/>
      <c r="H20" s="4"/>
      <c r="I20" s="4"/>
      <c r="J20" s="4"/>
      <c r="K20" s="4"/>
      <c r="L20" s="4"/>
      <c r="M20" s="4"/>
    </row>
    <row r="21" spans="1:13" ht="27.75" customHeight="1" x14ac:dyDescent="0.2">
      <c r="A21" s="19" t="s">
        <v>95</v>
      </c>
      <c r="B21" s="19" t="s">
        <v>312</v>
      </c>
      <c r="C21" s="19" t="s">
        <v>313</v>
      </c>
      <c r="D21" s="19" t="s">
        <v>314</v>
      </c>
      <c r="E21" s="19" t="s">
        <v>315</v>
      </c>
      <c r="F21" s="19" t="s">
        <v>316</v>
      </c>
      <c r="G21" s="19" t="s">
        <v>317</v>
      </c>
      <c r="H21" s="19" t="s">
        <v>318</v>
      </c>
      <c r="I21" s="19" t="s">
        <v>319</v>
      </c>
      <c r="J21" s="19" t="s">
        <v>320</v>
      </c>
      <c r="K21" s="19" t="s">
        <v>321</v>
      </c>
      <c r="L21" s="19" t="s">
        <v>322</v>
      </c>
      <c r="M21" s="19" t="s">
        <v>323</v>
      </c>
    </row>
    <row r="22" spans="1:13" ht="19.5" customHeight="1" x14ac:dyDescent="0.2">
      <c r="A22" s="43" t="s">
        <v>96</v>
      </c>
      <c r="B22" s="60">
        <v>200</v>
      </c>
      <c r="C22" s="60"/>
      <c r="D22" s="45">
        <v>0.2</v>
      </c>
      <c r="E22" s="60">
        <v>240</v>
      </c>
      <c r="F22" s="60"/>
      <c r="G22" s="45">
        <v>1</v>
      </c>
      <c r="H22" s="60"/>
      <c r="I22" s="60"/>
      <c r="J22" s="45"/>
      <c r="K22" s="60"/>
      <c r="L22" s="60"/>
      <c r="M22" s="45"/>
    </row>
    <row r="23" spans="1:13" ht="19.5" customHeight="1" x14ac:dyDescent="0.2">
      <c r="A23" s="43" t="s">
        <v>182</v>
      </c>
      <c r="B23" s="60"/>
      <c r="C23" s="60"/>
      <c r="D23" s="45"/>
      <c r="E23" s="60">
        <v>240</v>
      </c>
      <c r="F23" s="60"/>
      <c r="G23" s="45">
        <v>1</v>
      </c>
      <c r="H23" s="60"/>
      <c r="I23" s="60"/>
      <c r="J23" s="45"/>
      <c r="K23" s="60"/>
      <c r="L23" s="60"/>
      <c r="M23" s="45"/>
    </row>
    <row r="24" spans="1:13" ht="19.5" customHeight="1" x14ac:dyDescent="0.2">
      <c r="A24" s="43" t="s">
        <v>185</v>
      </c>
      <c r="B24" s="60"/>
      <c r="C24" s="60"/>
      <c r="D24" s="45"/>
      <c r="E24" s="60">
        <v>240</v>
      </c>
      <c r="F24" s="60"/>
      <c r="G24" s="45">
        <v>1</v>
      </c>
      <c r="H24" s="60"/>
      <c r="I24" s="60"/>
      <c r="J24" s="45"/>
      <c r="K24" s="60"/>
      <c r="L24" s="60"/>
      <c r="M24" s="45"/>
    </row>
    <row r="25" spans="1:13" ht="19.5" customHeight="1" x14ac:dyDescent="0.2">
      <c r="A25" s="43" t="s">
        <v>188</v>
      </c>
      <c r="B25" s="60">
        <v>70</v>
      </c>
      <c r="C25" s="60">
        <v>80</v>
      </c>
      <c r="D25" s="45">
        <v>0.2</v>
      </c>
      <c r="E25" s="60">
        <v>85</v>
      </c>
      <c r="F25" s="60">
        <v>60</v>
      </c>
      <c r="G25" s="45">
        <v>0.25</v>
      </c>
      <c r="H25" s="60">
        <v>100</v>
      </c>
      <c r="I25" s="60">
        <v>40</v>
      </c>
      <c r="J25" s="45">
        <v>0.3</v>
      </c>
      <c r="K25" s="60">
        <v>120</v>
      </c>
      <c r="L25" s="60">
        <v>30</v>
      </c>
      <c r="M25" s="45">
        <v>1</v>
      </c>
    </row>
    <row r="26" spans="1:13" ht="19.5" customHeight="1" x14ac:dyDescent="0.2">
      <c r="A26" s="43" t="s">
        <v>191</v>
      </c>
      <c r="B26" s="60">
        <v>100</v>
      </c>
      <c r="C26" s="60">
        <v>30</v>
      </c>
      <c r="D26" s="45">
        <v>0.4</v>
      </c>
      <c r="E26" s="60">
        <v>150</v>
      </c>
      <c r="F26" s="60">
        <v>15</v>
      </c>
      <c r="G26" s="45">
        <v>1</v>
      </c>
      <c r="H26" s="60"/>
      <c r="I26" s="60"/>
      <c r="J26" s="45"/>
      <c r="K26" s="60"/>
      <c r="L26" s="60"/>
      <c r="M26" s="45"/>
    </row>
  </sheetData>
  <mergeCells count="4">
    <mergeCell ref="A1:I1"/>
    <mergeCell ref="A2:I2"/>
    <mergeCell ref="A3:I3"/>
    <mergeCell ref="A20:M20"/>
  </mergeCells>
  <conditionalFormatting sqref="B17">
    <cfRule type="cellIs" dxfId="1" priority="2" operator="lessThan">
      <formula>-0.2</formula>
    </cfRule>
    <cfRule type="cellIs" dxfId="0" priority="3" operator="greaterThan">
      <formula>0.2</formula>
    </cfRule>
  </conditionalFormatting>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21"/>
  <sheetViews>
    <sheetView zoomScaleNormal="100" workbookViewId="0">
      <pane ySplit="3" topLeftCell="A4" activePane="bottomLeft" state="frozen"/>
      <selection pane="bottomLeft"/>
    </sheetView>
  </sheetViews>
  <sheetFormatPr defaultColWidth="8.7421875" defaultRowHeight="15" x14ac:dyDescent="0.2"/>
  <cols>
    <col min="1" max="1" width="46.00390625" style="13" customWidth="1"/>
    <col min="2" max="2" width="16.0078125" style="13" customWidth="1"/>
    <col min="3" max="3" width="13.98828125" style="13" customWidth="1"/>
    <col min="4" max="4" width="46.00390625" style="13" customWidth="1"/>
  </cols>
  <sheetData>
    <row r="1" spans="1:4" ht="17.25" customHeight="1" x14ac:dyDescent="0.2">
      <c r="A1" s="5" t="s">
        <v>324</v>
      </c>
      <c r="B1" s="5"/>
      <c r="C1" s="5"/>
      <c r="D1" s="5"/>
    </row>
    <row r="4" spans="1:4" ht="19.5" customHeight="1" x14ac:dyDescent="0.2">
      <c r="A4" s="24" t="s">
        <v>325</v>
      </c>
      <c r="B4" s="25"/>
      <c r="C4" s="25"/>
      <c r="D4" s="25"/>
    </row>
    <row r="5" spans="1:4" ht="25.5" customHeight="1" x14ac:dyDescent="0.2">
      <c r="A5" s="43" t="s">
        <v>143</v>
      </c>
      <c r="B5" s="58">
        <f>'Growth &amp; Feed Model'!B25</f>
        <v>20800.266616031942</v>
      </c>
      <c r="C5" s="28" t="s">
        <v>142</v>
      </c>
      <c r="D5" s="29" t="s">
        <v>326</v>
      </c>
    </row>
    <row r="6" spans="1:4" ht="25.5" customHeight="1" x14ac:dyDescent="0.2">
      <c r="A6" s="43" t="s">
        <v>135</v>
      </c>
      <c r="B6" s="47">
        <f>Dashboard!$B$27</f>
        <v>0.39249999999999996</v>
      </c>
      <c r="C6" s="28" t="s">
        <v>244</v>
      </c>
      <c r="D6" s="29"/>
    </row>
    <row r="7" spans="1:4" ht="25.5" customHeight="1" x14ac:dyDescent="0.2">
      <c r="A7" s="43" t="s">
        <v>136</v>
      </c>
      <c r="B7" s="47">
        <f>Dashboard!$B$28</f>
        <v>3.8928000000000004E-2</v>
      </c>
      <c r="C7" s="28" t="s">
        <v>244</v>
      </c>
      <c r="D7" s="29"/>
    </row>
    <row r="8" spans="1:4" ht="25.5" customHeight="1" x14ac:dyDescent="0.2">
      <c r="A8" s="43" t="s">
        <v>327</v>
      </c>
      <c r="B8" s="36">
        <f>Dashboard!$B$26</f>
        <v>0.61499999999999999</v>
      </c>
      <c r="C8" s="28" t="s">
        <v>159</v>
      </c>
      <c r="D8" s="29"/>
    </row>
    <row r="10" spans="1:4" ht="19.5" customHeight="1" x14ac:dyDescent="0.2">
      <c r="A10" s="24" t="s">
        <v>328</v>
      </c>
      <c r="B10" s="25"/>
      <c r="C10" s="25"/>
      <c r="D10" s="25"/>
    </row>
    <row r="11" spans="1:4" ht="25.5" customHeight="1" x14ac:dyDescent="0.2">
      <c r="A11" s="26" t="s">
        <v>329</v>
      </c>
      <c r="B11" s="51">
        <v>0.22</v>
      </c>
      <c r="C11" s="28" t="s">
        <v>274</v>
      </c>
      <c r="D11" s="29" t="s">
        <v>330</v>
      </c>
    </row>
    <row r="12" spans="1:4" ht="25.5" customHeight="1" x14ac:dyDescent="0.2">
      <c r="A12" s="26" t="s">
        <v>331</v>
      </c>
      <c r="B12" s="51">
        <v>0.25</v>
      </c>
      <c r="C12" s="28" t="s">
        <v>274</v>
      </c>
      <c r="D12" s="29" t="s">
        <v>332</v>
      </c>
    </row>
    <row r="14" spans="1:4" ht="19.5" customHeight="1" x14ac:dyDescent="0.2">
      <c r="A14" s="24" t="s">
        <v>333</v>
      </c>
      <c r="B14" s="25"/>
      <c r="C14" s="25"/>
      <c r="D14" s="25"/>
    </row>
    <row r="15" spans="1:4" ht="25.5" customHeight="1" x14ac:dyDescent="0.2">
      <c r="A15" s="26" t="s">
        <v>334</v>
      </c>
      <c r="B15" s="79">
        <f>B5*B8/1000</f>
        <v>12.792163968859644</v>
      </c>
      <c r="C15" s="28" t="s">
        <v>151</v>
      </c>
      <c r="D15" s="29" t="s">
        <v>335</v>
      </c>
    </row>
    <row r="16" spans="1:4" ht="25.5" customHeight="1" x14ac:dyDescent="0.2">
      <c r="A16" s="43" t="s">
        <v>336</v>
      </c>
      <c r="B16" s="58">
        <f>B5*B6</f>
        <v>8164.1046467925362</v>
      </c>
      <c r="C16" s="28" t="s">
        <v>147</v>
      </c>
      <c r="D16" s="29" t="s">
        <v>337</v>
      </c>
    </row>
    <row r="17" spans="1:4" ht="25.5" customHeight="1" x14ac:dyDescent="0.2">
      <c r="A17" s="43" t="s">
        <v>338</v>
      </c>
      <c r="B17" s="58">
        <f>B16*B11</f>
        <v>1796.103022294358</v>
      </c>
      <c r="C17" s="28" t="s">
        <v>147</v>
      </c>
      <c r="D17" s="29"/>
    </row>
    <row r="18" spans="1:4" ht="25.5" customHeight="1" x14ac:dyDescent="0.2">
      <c r="A18" s="26" t="s">
        <v>339</v>
      </c>
      <c r="B18" s="65">
        <f>B16-B17</f>
        <v>6368.001624498178</v>
      </c>
      <c r="C18" s="28" t="s">
        <v>147</v>
      </c>
      <c r="D18" s="29" t="s">
        <v>340</v>
      </c>
    </row>
    <row r="19" spans="1:4" ht="25.5" customHeight="1" x14ac:dyDescent="0.2">
      <c r="A19" s="43" t="s">
        <v>341</v>
      </c>
      <c r="B19" s="58">
        <f>B5*B7</f>
        <v>809.71277882889149</v>
      </c>
      <c r="C19" s="28" t="s">
        <v>342</v>
      </c>
      <c r="D19" s="29" t="s">
        <v>343</v>
      </c>
    </row>
    <row r="20" spans="1:4" ht="25.5" customHeight="1" x14ac:dyDescent="0.2">
      <c r="A20" s="43" t="s">
        <v>344</v>
      </c>
      <c r="B20" s="58">
        <f>B19*B12</f>
        <v>202.42819470722287</v>
      </c>
      <c r="C20" s="28" t="s">
        <v>342</v>
      </c>
      <c r="D20" s="29"/>
    </row>
    <row r="21" spans="1:4" ht="25.5" customHeight="1" x14ac:dyDescent="0.2">
      <c r="A21" s="26" t="s">
        <v>345</v>
      </c>
      <c r="B21" s="65">
        <f>B19-B20</f>
        <v>607.28458412166856</v>
      </c>
      <c r="C21" s="28" t="s">
        <v>342</v>
      </c>
      <c r="D21" s="29" t="s">
        <v>340</v>
      </c>
    </row>
  </sheetData>
  <mergeCells count="1">
    <mergeCell ref="A1:D1"/>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61"/>
  <sheetViews>
    <sheetView zoomScaleNormal="100" workbookViewId="0">
      <pane ySplit="3" topLeftCell="A4" activePane="bottomLeft" state="frozen"/>
      <selection pane="bottomLeft"/>
    </sheetView>
  </sheetViews>
  <sheetFormatPr defaultColWidth="8.7421875" defaultRowHeight="15" x14ac:dyDescent="0.2"/>
  <cols>
    <col min="1" max="1" width="50.04296875" style="13" customWidth="1"/>
    <col min="2" max="2" width="16.0078125" style="13" customWidth="1"/>
    <col min="3" max="3" width="13.98828125" style="13" customWidth="1"/>
    <col min="4" max="4" width="46.00390625" style="13" customWidth="1"/>
  </cols>
  <sheetData>
    <row r="1" spans="1:4" ht="17.25" customHeight="1" x14ac:dyDescent="0.2">
      <c r="A1" s="5" t="s">
        <v>346</v>
      </c>
      <c r="B1" s="5"/>
      <c r="C1" s="5"/>
      <c r="D1" s="5"/>
    </row>
    <row r="2" spans="1:4" ht="15" customHeight="1" x14ac:dyDescent="0.2">
      <c r="A2" s="7" t="s">
        <v>347</v>
      </c>
      <c r="B2" s="7"/>
      <c r="C2" s="7"/>
      <c r="D2" s="7"/>
    </row>
    <row r="4" spans="1:4" ht="19.5" customHeight="1" x14ac:dyDescent="0.2">
      <c r="A4" s="24" t="s">
        <v>325</v>
      </c>
      <c r="B4" s="25"/>
      <c r="C4" s="25"/>
      <c r="D4" s="25"/>
    </row>
    <row r="5" spans="1:4" ht="25.5" customHeight="1" x14ac:dyDescent="0.2">
      <c r="A5" s="43" t="s">
        <v>149</v>
      </c>
      <c r="B5" s="58">
        <f>'Feed Emission Model'!B18</f>
        <v>6368.001624498178</v>
      </c>
      <c r="C5" s="28" t="s">
        <v>147</v>
      </c>
      <c r="D5" s="29" t="s">
        <v>348</v>
      </c>
    </row>
    <row r="6" spans="1:4" ht="25.5" customHeight="1" x14ac:dyDescent="0.2">
      <c r="A6" s="43" t="s">
        <v>349</v>
      </c>
      <c r="B6" s="58">
        <f>'Feed Emission Model'!B21</f>
        <v>607.28458412166856</v>
      </c>
      <c r="C6" s="28" t="s">
        <v>342</v>
      </c>
      <c r="D6" s="29" t="s">
        <v>348</v>
      </c>
    </row>
    <row r="8" spans="1:4" ht="19.5" customHeight="1" x14ac:dyDescent="0.2">
      <c r="A8" s="24" t="s">
        <v>350</v>
      </c>
      <c r="B8" s="25"/>
      <c r="C8" s="25"/>
      <c r="D8" s="25"/>
    </row>
    <row r="9" spans="1:4" ht="45.75" customHeight="1" x14ac:dyDescent="0.2">
      <c r="A9" s="26" t="s">
        <v>351</v>
      </c>
      <c r="B9" s="51">
        <v>0.2</v>
      </c>
      <c r="C9" s="28" t="s">
        <v>274</v>
      </c>
      <c r="D9" s="22" t="s">
        <v>352</v>
      </c>
    </row>
    <row r="10" spans="1:4" ht="25.5" customHeight="1" x14ac:dyDescent="0.2">
      <c r="A10" s="26" t="s">
        <v>353</v>
      </c>
      <c r="B10" s="51">
        <v>0.25</v>
      </c>
      <c r="C10" s="28" t="s">
        <v>274</v>
      </c>
      <c r="D10" s="29" t="s">
        <v>354</v>
      </c>
    </row>
    <row r="11" spans="1:4" ht="25.5" customHeight="1" x14ac:dyDescent="0.2">
      <c r="A11" s="26" t="s">
        <v>355</v>
      </c>
      <c r="B11" s="35">
        <f>IF(B46="0.71%",0.0071,IF(B46="1.8%",0.018,B47))</f>
        <v>8.0000000000000002E-3</v>
      </c>
      <c r="C11" s="28" t="s">
        <v>274</v>
      </c>
      <c r="D11" s="22" t="s">
        <v>356</v>
      </c>
    </row>
    <row r="12" spans="1:4" ht="25.5" customHeight="1" x14ac:dyDescent="0.2">
      <c r="A12" s="26" t="s">
        <v>357</v>
      </c>
      <c r="B12" s="80">
        <f>IF(B44="AR6",27,28)</f>
        <v>28</v>
      </c>
      <c r="C12" s="28" t="s">
        <v>358</v>
      </c>
      <c r="D12" s="22" t="s">
        <v>359</v>
      </c>
    </row>
    <row r="13" spans="1:4" ht="25.5" customHeight="1" x14ac:dyDescent="0.2">
      <c r="A13" s="26" t="s">
        <v>360</v>
      </c>
      <c r="B13" s="80">
        <f>IF(B44="AR6",273,265)</f>
        <v>265</v>
      </c>
      <c r="C13" s="28" t="s">
        <v>358</v>
      </c>
      <c r="D13" s="22" t="s">
        <v>359</v>
      </c>
    </row>
    <row r="15" spans="1:4" ht="19.5" customHeight="1" x14ac:dyDescent="0.2">
      <c r="A15" s="24" t="s">
        <v>361</v>
      </c>
      <c r="B15" s="25"/>
      <c r="C15" s="25"/>
      <c r="D15" s="25"/>
    </row>
    <row r="16" spans="1:4" ht="25.5" customHeight="1" x14ac:dyDescent="0.2">
      <c r="A16" s="26" t="s">
        <v>362</v>
      </c>
      <c r="B16" s="27"/>
      <c r="C16" s="28" t="s">
        <v>363</v>
      </c>
      <c r="D16" s="29" t="s">
        <v>364</v>
      </c>
    </row>
    <row r="17" spans="1:4" ht="25.5" customHeight="1" x14ac:dyDescent="0.2">
      <c r="A17" s="26" t="s">
        <v>365</v>
      </c>
      <c r="B17" s="27"/>
      <c r="C17" s="28" t="s">
        <v>363</v>
      </c>
      <c r="D17" s="29" t="s">
        <v>364</v>
      </c>
    </row>
    <row r="19" spans="1:4" ht="19.5" customHeight="1" x14ac:dyDescent="0.2">
      <c r="A19" s="24" t="s">
        <v>366</v>
      </c>
      <c r="B19" s="25"/>
      <c r="C19" s="25"/>
      <c r="D19" s="25"/>
    </row>
    <row r="20" spans="1:4" ht="25.5" customHeight="1" x14ac:dyDescent="0.2">
      <c r="A20" s="43" t="s">
        <v>367</v>
      </c>
      <c r="B20" s="58">
        <f>B5*(1-B50)*B9*B45</f>
        <v>1018.8802599197087</v>
      </c>
      <c r="C20" s="28" t="s">
        <v>147</v>
      </c>
      <c r="D20" s="22" t="s">
        <v>368</v>
      </c>
    </row>
    <row r="21" spans="1:4" ht="25.5" customHeight="1" x14ac:dyDescent="0.2">
      <c r="A21" s="43" t="s">
        <v>369</v>
      </c>
      <c r="B21" s="62">
        <f>B20*16/12</f>
        <v>1358.5070132262783</v>
      </c>
      <c r="C21" s="28" t="s">
        <v>370</v>
      </c>
      <c r="D21" s="29" t="s">
        <v>371</v>
      </c>
    </row>
    <row r="22" spans="1:4" ht="25.5" customHeight="1" x14ac:dyDescent="0.2">
      <c r="A22" s="43" t="s">
        <v>372</v>
      </c>
      <c r="B22" s="62">
        <f>B21*(1-B10)</f>
        <v>1018.8802599197088</v>
      </c>
      <c r="C22" s="28" t="s">
        <v>370</v>
      </c>
      <c r="D22" s="29" t="s">
        <v>373</v>
      </c>
    </row>
    <row r="23" spans="1:4" ht="25.5" customHeight="1" x14ac:dyDescent="0.2">
      <c r="A23" s="26" t="s">
        <v>374</v>
      </c>
      <c r="B23" s="64">
        <f>IF(B16="",B22,B16)</f>
        <v>1018.8802599197088</v>
      </c>
      <c r="C23" s="28" t="s">
        <v>370</v>
      </c>
      <c r="D23" s="29"/>
    </row>
    <row r="24" spans="1:4" ht="25.5" customHeight="1" x14ac:dyDescent="0.2">
      <c r="A24" s="26" t="s">
        <v>375</v>
      </c>
      <c r="B24" s="79">
        <f>B23*B12/1000</f>
        <v>28.528647277751848</v>
      </c>
      <c r="C24" s="28" t="s">
        <v>151</v>
      </c>
      <c r="D24" s="29"/>
    </row>
    <row r="26" spans="1:4" ht="19.5" customHeight="1" x14ac:dyDescent="0.2">
      <c r="A26" s="24" t="s">
        <v>376</v>
      </c>
      <c r="B26" s="25"/>
      <c r="C26" s="25"/>
      <c r="D26" s="25"/>
    </row>
    <row r="27" spans="1:4" ht="25.5" customHeight="1" x14ac:dyDescent="0.2">
      <c r="A27" s="43" t="s">
        <v>377</v>
      </c>
      <c r="B27" s="62">
        <f>B6*B11*(44/28)</f>
        <v>7.6344347718152612</v>
      </c>
      <c r="C27" s="28" t="s">
        <v>378</v>
      </c>
      <c r="D27" s="29" t="s">
        <v>379</v>
      </c>
    </row>
    <row r="28" spans="1:4" ht="25.5" customHeight="1" x14ac:dyDescent="0.2">
      <c r="A28" s="26" t="s">
        <v>380</v>
      </c>
      <c r="B28" s="64">
        <f>IF(B17="",B27,B17)</f>
        <v>7.6344347718152612</v>
      </c>
      <c r="C28" s="28" t="s">
        <v>378</v>
      </c>
      <c r="D28" s="29"/>
    </row>
    <row r="29" spans="1:4" ht="25.5" customHeight="1" x14ac:dyDescent="0.2">
      <c r="A29" s="26" t="s">
        <v>381</v>
      </c>
      <c r="B29" s="79">
        <f>B28*B13/1000</f>
        <v>2.0231252145310443</v>
      </c>
      <c r="C29" s="28" t="s">
        <v>151</v>
      </c>
      <c r="D29" s="29"/>
    </row>
    <row r="31" spans="1:4" ht="19.5" customHeight="1" x14ac:dyDescent="0.2">
      <c r="A31" s="24" t="s">
        <v>382</v>
      </c>
      <c r="B31" s="25"/>
      <c r="C31" s="25"/>
      <c r="D31" s="25"/>
    </row>
    <row r="32" spans="1:4" ht="25.5" customHeight="1" x14ac:dyDescent="0.2">
      <c r="A32" s="26" t="s">
        <v>383</v>
      </c>
      <c r="B32" s="27">
        <v>200</v>
      </c>
      <c r="C32" s="28" t="s">
        <v>363</v>
      </c>
      <c r="D32" s="29" t="s">
        <v>384</v>
      </c>
    </row>
    <row r="33" spans="1:4" ht="25.5" customHeight="1" x14ac:dyDescent="0.2">
      <c r="A33" s="26" t="s">
        <v>385</v>
      </c>
      <c r="B33" s="53">
        <v>0.12</v>
      </c>
      <c r="C33" s="28" t="s">
        <v>386</v>
      </c>
      <c r="D33" s="29" t="s">
        <v>387</v>
      </c>
    </row>
    <row r="34" spans="1:4" ht="25.5" customHeight="1" x14ac:dyDescent="0.2">
      <c r="A34" s="26" t="s">
        <v>388</v>
      </c>
      <c r="B34" s="27">
        <v>0</v>
      </c>
      <c r="C34" s="28" t="s">
        <v>389</v>
      </c>
      <c r="D34" s="29" t="s">
        <v>390</v>
      </c>
    </row>
    <row r="35" spans="1:4" ht="25.5" customHeight="1" x14ac:dyDescent="0.2">
      <c r="A35" s="26" t="s">
        <v>391</v>
      </c>
      <c r="B35" s="52">
        <v>0.01</v>
      </c>
      <c r="C35" s="28" t="s">
        <v>274</v>
      </c>
      <c r="D35" s="29" t="s">
        <v>392</v>
      </c>
    </row>
    <row r="37" spans="1:4" ht="19.5" customHeight="1" x14ac:dyDescent="0.2">
      <c r="A37" s="24" t="s">
        <v>393</v>
      </c>
      <c r="B37" s="25"/>
      <c r="C37" s="25"/>
      <c r="D37" s="25"/>
    </row>
    <row r="38" spans="1:4" ht="25.5" customHeight="1" x14ac:dyDescent="0.2">
      <c r="A38" s="43" t="s">
        <v>394</v>
      </c>
      <c r="B38" s="44">
        <f>B32/1000*B33</f>
        <v>2.4E-2</v>
      </c>
      <c r="C38" s="28" t="s">
        <v>151</v>
      </c>
      <c r="D38" s="29" t="s">
        <v>395</v>
      </c>
    </row>
    <row r="39" spans="1:4" ht="25.5" customHeight="1" x14ac:dyDescent="0.2">
      <c r="A39" s="43" t="s">
        <v>396</v>
      </c>
      <c r="B39" s="62">
        <f>B34*B35*(44/28)</f>
        <v>0</v>
      </c>
      <c r="C39" s="28" t="s">
        <v>378</v>
      </c>
      <c r="D39" s="29" t="s">
        <v>397</v>
      </c>
    </row>
    <row r="40" spans="1:4" ht="25.5" customHeight="1" x14ac:dyDescent="0.2">
      <c r="A40" s="43" t="s">
        <v>398</v>
      </c>
      <c r="B40" s="44">
        <f>B39*B13/1000</f>
        <v>0</v>
      </c>
      <c r="C40" s="28" t="s">
        <v>151</v>
      </c>
      <c r="D40" s="29" t="s">
        <v>399</v>
      </c>
    </row>
    <row r="41" spans="1:4" ht="25.5" customHeight="1" x14ac:dyDescent="0.2">
      <c r="A41" s="38" t="s">
        <v>400</v>
      </c>
      <c r="B41" s="41">
        <f>B38+B40</f>
        <v>2.4E-2</v>
      </c>
      <c r="C41" s="74" t="s">
        <v>151</v>
      </c>
      <c r="D41" s="75"/>
    </row>
    <row r="43" spans="1:4" ht="19.5" customHeight="1" x14ac:dyDescent="0.2">
      <c r="A43" s="24" t="s">
        <v>401</v>
      </c>
      <c r="B43" s="25"/>
      <c r="C43" s="25"/>
      <c r="D43" s="25"/>
    </row>
    <row r="44" spans="1:4" ht="25.5" customHeight="1" x14ac:dyDescent="0.2">
      <c r="A44" s="26" t="s">
        <v>402</v>
      </c>
      <c r="B44" s="81" t="str">
        <f>Dashboard!$B$14</f>
        <v>AR5</v>
      </c>
      <c r="C44" s="28" t="s">
        <v>121</v>
      </c>
      <c r="D44" s="22" t="s">
        <v>403</v>
      </c>
    </row>
    <row r="45" spans="1:4" ht="25.5" customHeight="1" x14ac:dyDescent="0.2">
      <c r="A45" s="26" t="s">
        <v>404</v>
      </c>
      <c r="B45" s="63">
        <v>1</v>
      </c>
      <c r="C45" s="28" t="s">
        <v>358</v>
      </c>
      <c r="D45" s="29" t="s">
        <v>405</v>
      </c>
    </row>
    <row r="46" spans="1:4" ht="25.5" customHeight="1" x14ac:dyDescent="0.2">
      <c r="A46" s="26" t="s">
        <v>406</v>
      </c>
      <c r="B46" s="30" t="s">
        <v>407</v>
      </c>
      <c r="C46" s="28" t="s">
        <v>408</v>
      </c>
      <c r="D46" s="29" t="s">
        <v>409</v>
      </c>
    </row>
    <row r="47" spans="1:4" ht="25.5" customHeight="1" x14ac:dyDescent="0.2">
      <c r="A47" s="26" t="s">
        <v>410</v>
      </c>
      <c r="B47" s="82">
        <v>8.0000000000000002E-3</v>
      </c>
      <c r="C47" s="28" t="s">
        <v>274</v>
      </c>
      <c r="D47" s="29" t="s">
        <v>411</v>
      </c>
    </row>
    <row r="49" spans="1:7" ht="19.5" customHeight="1" x14ac:dyDescent="0.2">
      <c r="A49" s="24" t="s">
        <v>412</v>
      </c>
      <c r="B49" s="25"/>
      <c r="C49" s="25"/>
      <c r="D49" s="25"/>
    </row>
    <row r="50" spans="1:7" ht="25.5" customHeight="1" x14ac:dyDescent="0.2">
      <c r="A50" s="26" t="s">
        <v>413</v>
      </c>
      <c r="B50" s="73">
        <v>0.2</v>
      </c>
      <c r="C50" s="28" t="s">
        <v>274</v>
      </c>
      <c r="D50" s="29" t="s">
        <v>414</v>
      </c>
    </row>
    <row r="51" spans="1:7" ht="25.5" customHeight="1" x14ac:dyDescent="0.2">
      <c r="A51" s="26" t="s">
        <v>415</v>
      </c>
      <c r="B51" s="30">
        <v>20</v>
      </c>
      <c r="C51" s="28" t="s">
        <v>416</v>
      </c>
      <c r="D51" s="29" t="s">
        <v>417</v>
      </c>
    </row>
    <row r="52" spans="1:7" ht="25.5" customHeight="1" x14ac:dyDescent="0.2">
      <c r="A52" s="26" t="s">
        <v>418</v>
      </c>
      <c r="B52" s="63">
        <v>2</v>
      </c>
      <c r="C52" s="28" t="s">
        <v>419</v>
      </c>
      <c r="D52" s="29" t="s">
        <v>420</v>
      </c>
    </row>
    <row r="53" spans="1:7" ht="25.5" customHeight="1" x14ac:dyDescent="0.2">
      <c r="A53" s="26" t="s">
        <v>421</v>
      </c>
      <c r="B53" s="79">
        <f>Dashboard!$B$10*B51*B52/1000</f>
        <v>0.04</v>
      </c>
      <c r="C53" s="28" t="s">
        <v>151</v>
      </c>
      <c r="D53" s="29" t="s">
        <v>422</v>
      </c>
    </row>
    <row r="55" spans="1:7" ht="19.5" customHeight="1" x14ac:dyDescent="0.2">
      <c r="A55" s="66" t="s">
        <v>423</v>
      </c>
      <c r="B55" s="25"/>
      <c r="C55" s="25"/>
      <c r="D55" s="25"/>
      <c r="E55" s="25"/>
      <c r="F55" s="25"/>
      <c r="G55" s="25"/>
    </row>
    <row r="56" spans="1:7" ht="33.75" customHeight="1" x14ac:dyDescent="0.2">
      <c r="A56" s="4" t="s">
        <v>424</v>
      </c>
      <c r="B56" s="4"/>
      <c r="C56" s="4"/>
      <c r="D56" s="4"/>
      <c r="E56" s="4"/>
      <c r="F56" s="4"/>
      <c r="G56" s="4"/>
    </row>
    <row r="57" spans="1:7" ht="30" customHeight="1" x14ac:dyDescent="0.2">
      <c r="A57" s="19" t="s">
        <v>425</v>
      </c>
      <c r="B57" s="19" t="s">
        <v>426</v>
      </c>
      <c r="C57" s="19" t="s">
        <v>427</v>
      </c>
      <c r="D57" s="19" t="s">
        <v>428</v>
      </c>
      <c r="E57" s="19" t="s">
        <v>429</v>
      </c>
      <c r="F57" s="19" t="s">
        <v>430</v>
      </c>
      <c r="G57" s="19" t="s">
        <v>431</v>
      </c>
    </row>
    <row r="58" spans="1:7" ht="21.75" customHeight="1" x14ac:dyDescent="0.2">
      <c r="A58" s="27"/>
      <c r="B58" s="27"/>
      <c r="C58" s="27"/>
      <c r="D58" s="27"/>
      <c r="E58" s="27"/>
      <c r="F58" s="27"/>
      <c r="G58" s="27"/>
    </row>
    <row r="59" spans="1:7" ht="21.75" customHeight="1" x14ac:dyDescent="0.2">
      <c r="A59" s="27"/>
      <c r="B59" s="27"/>
      <c r="C59" s="27"/>
      <c r="D59" s="27"/>
      <c r="E59" s="27"/>
      <c r="F59" s="27"/>
      <c r="G59" s="27"/>
    </row>
    <row r="60" spans="1:7" ht="21.75" customHeight="1" x14ac:dyDescent="0.2">
      <c r="A60" s="27"/>
      <c r="B60" s="27"/>
      <c r="C60" s="27"/>
      <c r="D60" s="27"/>
      <c r="E60" s="27"/>
      <c r="F60" s="27"/>
      <c r="G60" s="27"/>
    </row>
    <row r="61" spans="1:7" ht="21.75" customHeight="1" x14ac:dyDescent="0.2">
      <c r="A61" s="27"/>
      <c r="B61" s="27"/>
      <c r="C61" s="27"/>
      <c r="D61" s="27"/>
      <c r="E61" s="27"/>
      <c r="F61" s="27"/>
      <c r="G61" s="27"/>
    </row>
  </sheetData>
  <mergeCells count="3">
    <mergeCell ref="A1:D1"/>
    <mergeCell ref="A2:D2"/>
    <mergeCell ref="A56:G56"/>
  </mergeCells>
  <dataValidations count="2">
    <dataValidation type="list" sqref="B44" xr:uid="{00000000-0002-0000-0800-000000000000}">
      <formula1>"AR5,AR6"</formula1>
      <formula2>0</formula2>
    </dataValidation>
    <dataValidation type="list" sqref="B46" xr:uid="{00000000-0002-0000-0800-000001000000}">
      <formula1>"0.71%,1.8%,Custom"</formula1>
      <formula2>0</formula2>
    </dataValidation>
  </dataValidation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45"/>
  <sheetViews>
    <sheetView zoomScaleNormal="100" workbookViewId="0">
      <pane ySplit="3" topLeftCell="A4" activePane="bottomLeft" state="frozen"/>
      <selection pane="bottomLeft"/>
    </sheetView>
  </sheetViews>
  <sheetFormatPr defaultColWidth="8.7421875" defaultRowHeight="15" x14ac:dyDescent="0.2"/>
  <cols>
    <col min="1" max="1" width="46.00390625" style="13" customWidth="1"/>
    <col min="2" max="2" width="16.0078125" style="13" customWidth="1"/>
    <col min="3" max="3" width="13.98828125" style="13" customWidth="1"/>
    <col min="4" max="4" width="46.00390625" style="13" customWidth="1"/>
  </cols>
  <sheetData>
    <row r="1" spans="1:4" ht="17.25" customHeight="1" x14ac:dyDescent="0.2">
      <c r="A1" s="5" t="s">
        <v>62</v>
      </c>
      <c r="B1" s="5"/>
      <c r="C1" s="5"/>
      <c r="D1" s="5"/>
    </row>
    <row r="2" spans="1:4" ht="15" customHeight="1" x14ac:dyDescent="0.2">
      <c r="A2" s="7" t="s">
        <v>432</v>
      </c>
      <c r="B2" s="7"/>
      <c r="C2" s="7"/>
      <c r="D2" s="7"/>
    </row>
    <row r="4" spans="1:4" ht="19.5" customHeight="1" x14ac:dyDescent="0.2">
      <c r="A4" s="24" t="s">
        <v>433</v>
      </c>
      <c r="B4" s="25"/>
      <c r="C4" s="25"/>
      <c r="D4" s="25"/>
    </row>
    <row r="5" spans="1:4" ht="25.5" customHeight="1" x14ac:dyDescent="0.2">
      <c r="A5" s="26" t="s">
        <v>434</v>
      </c>
      <c r="B5" s="83" t="str">
        <f>Dashboard!$B$23</f>
        <v>No</v>
      </c>
      <c r="C5" s="28" t="s">
        <v>435</v>
      </c>
      <c r="D5" s="29"/>
    </row>
    <row r="7" spans="1:4" ht="19.5" customHeight="1" x14ac:dyDescent="0.2">
      <c r="A7" s="24" t="s">
        <v>436</v>
      </c>
      <c r="B7" s="25"/>
      <c r="C7" s="25"/>
      <c r="D7" s="25"/>
    </row>
    <row r="8" spans="1:4" ht="25.5" customHeight="1" x14ac:dyDescent="0.2">
      <c r="A8" s="26" t="s">
        <v>437</v>
      </c>
      <c r="B8" s="27">
        <v>2</v>
      </c>
      <c r="C8" s="28" t="s">
        <v>438</v>
      </c>
      <c r="D8" s="29"/>
    </row>
    <row r="9" spans="1:4" ht="25.5" customHeight="1" x14ac:dyDescent="0.2">
      <c r="A9" s="26" t="s">
        <v>439</v>
      </c>
      <c r="B9" s="71">
        <f>IFERROR(INDEX($B$41:$B$45,MATCH(Dashboard!$B$5,$A$41:$A$45,0)),0)</f>
        <v>0</v>
      </c>
      <c r="C9" s="28" t="s">
        <v>440</v>
      </c>
      <c r="D9" s="29" t="s">
        <v>441</v>
      </c>
    </row>
    <row r="10" spans="1:4" ht="25.5" customHeight="1" x14ac:dyDescent="0.2">
      <c r="A10" s="26" t="s">
        <v>442</v>
      </c>
      <c r="B10" s="71">
        <f>IFERROR(INDEX($C$41:$C$45,MATCH(Dashboard!$B$5,$A$41:$A$45,0)),0)</f>
        <v>0</v>
      </c>
      <c r="C10" s="28" t="s">
        <v>443</v>
      </c>
      <c r="D10" s="29"/>
    </row>
    <row r="11" spans="1:4" ht="25.5" customHeight="1" x14ac:dyDescent="0.2">
      <c r="A11" s="26" t="s">
        <v>444</v>
      </c>
      <c r="B11" s="71">
        <f>IFERROR(INDEX($D$41:$D$45,MATCH(Dashboard!$B$5,$A$41:$A$45,0)),0)</f>
        <v>0</v>
      </c>
      <c r="C11" s="28" t="s">
        <v>445</v>
      </c>
      <c r="D11" s="29" t="s">
        <v>446</v>
      </c>
    </row>
    <row r="12" spans="1:4" ht="25.5" customHeight="1" x14ac:dyDescent="0.2">
      <c r="A12" s="26" t="s">
        <v>447</v>
      </c>
      <c r="B12" s="71">
        <f>IFERROR(INDEX($E$41:$E$45,MATCH(Dashboard!$B$5,$A$41:$A$45,0)),0)</f>
        <v>0</v>
      </c>
      <c r="C12" s="28" t="s">
        <v>443</v>
      </c>
      <c r="D12" s="29"/>
    </row>
    <row r="14" spans="1:4" ht="19.5" customHeight="1" x14ac:dyDescent="0.2">
      <c r="A14" s="24" t="s">
        <v>448</v>
      </c>
      <c r="B14" s="25"/>
      <c r="C14" s="25"/>
      <c r="D14" s="25"/>
    </row>
    <row r="15" spans="1:4" ht="25.5" customHeight="1" x14ac:dyDescent="0.2">
      <c r="A15" s="26" t="s">
        <v>449</v>
      </c>
      <c r="B15" s="27">
        <v>500</v>
      </c>
      <c r="C15" s="28" t="s">
        <v>450</v>
      </c>
      <c r="D15" s="29"/>
    </row>
    <row r="16" spans="1:4" ht="25.5" customHeight="1" x14ac:dyDescent="0.2">
      <c r="A16" s="26" t="s">
        <v>451</v>
      </c>
      <c r="B16" s="27">
        <v>200</v>
      </c>
      <c r="C16" s="28" t="s">
        <v>450</v>
      </c>
      <c r="D16" s="29"/>
    </row>
    <row r="17" spans="1:4" ht="25.5" customHeight="1" x14ac:dyDescent="0.2">
      <c r="A17" s="26" t="s">
        <v>452</v>
      </c>
      <c r="B17" s="27">
        <v>500</v>
      </c>
      <c r="C17" s="28" t="s">
        <v>453</v>
      </c>
      <c r="D17" s="29" t="s">
        <v>454</v>
      </c>
    </row>
    <row r="18" spans="1:4" ht="25.5" customHeight="1" x14ac:dyDescent="0.2">
      <c r="A18" s="26" t="s">
        <v>455</v>
      </c>
      <c r="B18" s="27">
        <v>0</v>
      </c>
      <c r="C18" s="28" t="s">
        <v>453</v>
      </c>
      <c r="D18" s="29" t="s">
        <v>456</v>
      </c>
    </row>
    <row r="20" spans="1:4" ht="19.5" customHeight="1" x14ac:dyDescent="0.2">
      <c r="A20" s="24" t="s">
        <v>457</v>
      </c>
      <c r="B20" s="25"/>
      <c r="C20" s="25"/>
      <c r="D20" s="25"/>
    </row>
    <row r="21" spans="1:4" ht="25.5" customHeight="1" x14ac:dyDescent="0.2">
      <c r="A21" s="26" t="s">
        <v>458</v>
      </c>
      <c r="B21" s="27">
        <v>3</v>
      </c>
      <c r="C21" s="28" t="s">
        <v>459</v>
      </c>
      <c r="D21" s="29"/>
    </row>
    <row r="22" spans="1:4" ht="25.5" customHeight="1" x14ac:dyDescent="0.2">
      <c r="A22" s="26" t="s">
        <v>460</v>
      </c>
      <c r="B22" s="27">
        <v>0.71</v>
      </c>
      <c r="C22" s="28" t="s">
        <v>461</v>
      </c>
      <c r="D22" s="29" t="s">
        <v>462</v>
      </c>
    </row>
    <row r="24" spans="1:4" ht="19.5" customHeight="1" x14ac:dyDescent="0.2">
      <c r="A24" s="24" t="s">
        <v>463</v>
      </c>
      <c r="B24" s="25"/>
      <c r="C24" s="25"/>
      <c r="D24" s="25"/>
    </row>
    <row r="25" spans="1:4" ht="25.5" customHeight="1" x14ac:dyDescent="0.2">
      <c r="A25" s="43" t="s">
        <v>464</v>
      </c>
      <c r="B25" s="58">
        <f>B8*0.746*B9*B10</f>
        <v>0</v>
      </c>
      <c r="C25" s="28" t="s">
        <v>453</v>
      </c>
      <c r="D25" s="29" t="s">
        <v>465</v>
      </c>
    </row>
    <row r="26" spans="1:4" ht="25.5" customHeight="1" x14ac:dyDescent="0.2">
      <c r="A26" s="43" t="s">
        <v>466</v>
      </c>
      <c r="B26" s="58">
        <f>B11*B12</f>
        <v>0</v>
      </c>
      <c r="C26" s="28" t="s">
        <v>453</v>
      </c>
      <c r="D26" s="29"/>
    </row>
    <row r="27" spans="1:4" ht="25.5" customHeight="1" x14ac:dyDescent="0.2">
      <c r="A27" s="43" t="s">
        <v>467</v>
      </c>
      <c r="B27" s="58">
        <f>MAX(0,B25+B26+B17-B18)</f>
        <v>500</v>
      </c>
      <c r="C27" s="28" t="s">
        <v>453</v>
      </c>
      <c r="D27" s="29" t="s">
        <v>468</v>
      </c>
    </row>
    <row r="28" spans="1:4" ht="25.5" customHeight="1" x14ac:dyDescent="0.2">
      <c r="A28" s="26" t="s">
        <v>469</v>
      </c>
      <c r="B28" s="79">
        <f>B27*B22/1000</f>
        <v>0.35499999999999998</v>
      </c>
      <c r="C28" s="28" t="s">
        <v>151</v>
      </c>
      <c r="D28" s="29"/>
    </row>
    <row r="29" spans="1:4" ht="25.5" customHeight="1" x14ac:dyDescent="0.2">
      <c r="A29" s="26" t="s">
        <v>470</v>
      </c>
      <c r="B29" s="79">
        <f>(B15+B16)*B21/1000</f>
        <v>2.1</v>
      </c>
      <c r="C29" s="28" t="s">
        <v>151</v>
      </c>
      <c r="D29" s="29"/>
    </row>
    <row r="30" spans="1:4" ht="25.5" customHeight="1" x14ac:dyDescent="0.2">
      <c r="A30" s="38" t="s">
        <v>471</v>
      </c>
      <c r="B30" s="41">
        <f>B28+B29</f>
        <v>2.4550000000000001</v>
      </c>
      <c r="C30" s="74" t="s">
        <v>151</v>
      </c>
      <c r="D30" s="75"/>
    </row>
    <row r="32" spans="1:4" ht="19.5" customHeight="1" x14ac:dyDescent="0.2">
      <c r="A32" s="24" t="s">
        <v>472</v>
      </c>
      <c r="B32" s="25"/>
      <c r="C32" s="25"/>
      <c r="D32" s="25"/>
    </row>
    <row r="33" spans="1:6" ht="25.5" customHeight="1" x14ac:dyDescent="0.2">
      <c r="A33" s="26" t="s">
        <v>473</v>
      </c>
      <c r="B33" s="30">
        <v>3.5</v>
      </c>
      <c r="C33" s="28" t="s">
        <v>474</v>
      </c>
      <c r="D33" s="29" t="s">
        <v>475</v>
      </c>
    </row>
    <row r="34" spans="1:6" ht="25.5" customHeight="1" x14ac:dyDescent="0.2">
      <c r="A34" s="43" t="s">
        <v>476</v>
      </c>
      <c r="B34" s="58">
        <f>B16*B33</f>
        <v>700</v>
      </c>
      <c r="C34" s="28" t="s">
        <v>453</v>
      </c>
      <c r="D34" s="29" t="s">
        <v>477</v>
      </c>
    </row>
    <row r="36" spans="1:6" ht="43.5" customHeight="1" x14ac:dyDescent="0.2">
      <c r="A36" s="4" t="s">
        <v>478</v>
      </c>
      <c r="B36" s="4"/>
      <c r="C36" s="4"/>
      <c r="D36" s="4"/>
    </row>
    <row r="38" spans="1:6" ht="19.5" customHeight="1" x14ac:dyDescent="0.2">
      <c r="A38" s="24" t="s">
        <v>479</v>
      </c>
      <c r="B38" s="25"/>
      <c r="C38" s="25"/>
      <c r="D38" s="25"/>
      <c r="E38" s="25"/>
      <c r="F38" s="25"/>
    </row>
    <row r="39" spans="1:6" ht="39.75" customHeight="1" x14ac:dyDescent="0.2">
      <c r="A39" s="4" t="s">
        <v>480</v>
      </c>
      <c r="B39" s="4"/>
      <c r="C39" s="4"/>
      <c r="D39" s="4"/>
      <c r="E39" s="4"/>
      <c r="F39" s="4"/>
    </row>
    <row r="40" spans="1:6" ht="30" customHeight="1" x14ac:dyDescent="0.2">
      <c r="A40" s="19" t="s">
        <v>95</v>
      </c>
      <c r="B40" s="19" t="s">
        <v>481</v>
      </c>
      <c r="C40" s="19" t="s">
        <v>482</v>
      </c>
      <c r="D40" s="19" t="s">
        <v>483</v>
      </c>
      <c r="E40" s="19" t="s">
        <v>484</v>
      </c>
      <c r="F40" s="19" t="s">
        <v>485</v>
      </c>
    </row>
    <row r="41" spans="1:6" ht="19.5" customHeight="1" x14ac:dyDescent="0.2">
      <c r="A41" s="43" t="s">
        <v>96</v>
      </c>
      <c r="B41" s="60">
        <v>0</v>
      </c>
      <c r="C41" s="60">
        <v>0</v>
      </c>
      <c r="D41" s="60">
        <v>0</v>
      </c>
      <c r="E41" s="60">
        <v>0</v>
      </c>
      <c r="F41" s="48" t="s">
        <v>486</v>
      </c>
    </row>
    <row r="42" spans="1:6" ht="19.5" customHeight="1" x14ac:dyDescent="0.2">
      <c r="A42" s="43" t="s">
        <v>182</v>
      </c>
      <c r="B42" s="60">
        <v>0</v>
      </c>
      <c r="C42" s="60">
        <v>0</v>
      </c>
      <c r="D42" s="60">
        <v>0</v>
      </c>
      <c r="E42" s="60">
        <v>0</v>
      </c>
      <c r="F42" s="48" t="s">
        <v>486</v>
      </c>
    </row>
    <row r="43" spans="1:6" ht="19.5" customHeight="1" x14ac:dyDescent="0.2">
      <c r="A43" s="43" t="s">
        <v>185</v>
      </c>
      <c r="B43" s="60">
        <v>2</v>
      </c>
      <c r="C43" s="60">
        <v>6</v>
      </c>
      <c r="D43" s="60">
        <v>0</v>
      </c>
      <c r="E43" s="60">
        <v>0</v>
      </c>
      <c r="F43" s="48" t="s">
        <v>487</v>
      </c>
    </row>
    <row r="44" spans="1:6" ht="19.5" customHeight="1" x14ac:dyDescent="0.2">
      <c r="A44" s="43" t="s">
        <v>188</v>
      </c>
      <c r="B44" s="60">
        <v>6</v>
      </c>
      <c r="C44" s="60">
        <v>16</v>
      </c>
      <c r="D44" s="60">
        <v>5</v>
      </c>
      <c r="E44" s="60">
        <v>16</v>
      </c>
      <c r="F44" s="48" t="s">
        <v>488</v>
      </c>
    </row>
    <row r="45" spans="1:6" ht="19.5" customHeight="1" x14ac:dyDescent="0.2">
      <c r="A45" s="43" t="s">
        <v>191</v>
      </c>
      <c r="B45" s="60">
        <v>4</v>
      </c>
      <c r="C45" s="60">
        <v>10</v>
      </c>
      <c r="D45" s="60">
        <v>2</v>
      </c>
      <c r="E45" s="60">
        <v>10</v>
      </c>
      <c r="F45" s="48" t="s">
        <v>489</v>
      </c>
    </row>
  </sheetData>
  <mergeCells count="4">
    <mergeCell ref="A1:D1"/>
    <mergeCell ref="A2:D2"/>
    <mergeCell ref="A36:D36"/>
    <mergeCell ref="A39:F39"/>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42"/>
  <sheetViews>
    <sheetView zoomScaleNormal="100" workbookViewId="0">
      <pane ySplit="3" topLeftCell="A4" activePane="bottomLeft" state="frozen"/>
      <selection pane="bottomLeft"/>
    </sheetView>
  </sheetViews>
  <sheetFormatPr defaultColWidth="8.7421875" defaultRowHeight="15" x14ac:dyDescent="0.2"/>
  <cols>
    <col min="1" max="1" width="41.96875" style="13" customWidth="1"/>
    <col min="2" max="2" width="16.0078125" style="13" customWidth="1"/>
    <col min="3" max="3" width="13.98828125" style="13" customWidth="1"/>
    <col min="4" max="4" width="43.98828125" style="13" customWidth="1"/>
  </cols>
  <sheetData>
    <row r="1" spans="1:4" ht="17.25" customHeight="1" x14ac:dyDescent="0.2">
      <c r="A1" s="5" t="s">
        <v>47</v>
      </c>
      <c r="B1" s="5"/>
      <c r="C1" s="5"/>
      <c r="D1" s="5"/>
    </row>
    <row r="2" spans="1:4" ht="15" customHeight="1" x14ac:dyDescent="0.2">
      <c r="A2" s="7" t="s">
        <v>490</v>
      </c>
      <c r="B2" s="7"/>
      <c r="C2" s="7"/>
      <c r="D2" s="7"/>
    </row>
    <row r="4" spans="1:4" ht="19.5" customHeight="1" x14ac:dyDescent="0.2">
      <c r="A4" s="24" t="s">
        <v>325</v>
      </c>
      <c r="B4" s="25"/>
      <c r="C4" s="25"/>
      <c r="D4" s="25"/>
    </row>
    <row r="5" spans="1:4" ht="25.5" customHeight="1" x14ac:dyDescent="0.2">
      <c r="A5" s="43" t="s">
        <v>141</v>
      </c>
      <c r="B5" s="58">
        <f>'Harvest Schedule'!B15</f>
        <v>8777.422629483679</v>
      </c>
      <c r="C5" s="28" t="s">
        <v>142</v>
      </c>
      <c r="D5" s="29" t="s">
        <v>491</v>
      </c>
    </row>
    <row r="6" spans="1:4" ht="25.5" customHeight="1" x14ac:dyDescent="0.2">
      <c r="A6" s="43" t="s">
        <v>143</v>
      </c>
      <c r="B6" s="58">
        <f>'Growth &amp; Feed Model'!B25</f>
        <v>20800.266616031942</v>
      </c>
      <c r="C6" s="28" t="s">
        <v>142</v>
      </c>
      <c r="D6" s="29" t="s">
        <v>326</v>
      </c>
    </row>
    <row r="7" spans="1:4" ht="25.5" customHeight="1" x14ac:dyDescent="0.2">
      <c r="A7" s="43" t="s">
        <v>467</v>
      </c>
      <c r="B7" s="58">
        <f>'Energy Module'!B27</f>
        <v>500</v>
      </c>
      <c r="C7" s="28" t="s">
        <v>453</v>
      </c>
      <c r="D7" s="29" t="s">
        <v>492</v>
      </c>
    </row>
    <row r="8" spans="1:4" ht="25.5" customHeight="1" x14ac:dyDescent="0.2">
      <c r="A8" s="43" t="s">
        <v>493</v>
      </c>
      <c r="B8" s="58">
        <f>'Energy Module'!B15+'Energy Module'!B16</f>
        <v>700</v>
      </c>
      <c r="C8" s="28" t="s">
        <v>450</v>
      </c>
      <c r="D8" s="29" t="s">
        <v>492</v>
      </c>
    </row>
    <row r="9" spans="1:4" ht="25.5" customHeight="1" x14ac:dyDescent="0.2">
      <c r="A9" s="43" t="s">
        <v>237</v>
      </c>
      <c r="B9" s="58">
        <f>'Growth &amp; Feed Model'!B7</f>
        <v>6250</v>
      </c>
      <c r="C9" s="28" t="s">
        <v>238</v>
      </c>
      <c r="D9" s="29" t="s">
        <v>326</v>
      </c>
    </row>
    <row r="11" spans="1:4" ht="19.5" customHeight="1" x14ac:dyDescent="0.2">
      <c r="A11" s="24" t="s">
        <v>494</v>
      </c>
      <c r="B11" s="25"/>
      <c r="C11" s="25"/>
      <c r="D11" s="25"/>
    </row>
    <row r="12" spans="1:4" ht="25.5" customHeight="1" x14ac:dyDescent="0.2">
      <c r="A12" s="26" t="s">
        <v>495</v>
      </c>
      <c r="B12" s="27">
        <v>45</v>
      </c>
      <c r="C12" s="28" t="s">
        <v>496</v>
      </c>
      <c r="D12" s="29" t="s">
        <v>497</v>
      </c>
    </row>
    <row r="13" spans="1:4" ht="25.5" customHeight="1" x14ac:dyDescent="0.2">
      <c r="A13" s="26" t="s">
        <v>498</v>
      </c>
      <c r="B13" s="27">
        <v>7</v>
      </c>
      <c r="C13" s="28" t="s">
        <v>499</v>
      </c>
      <c r="D13" s="29" t="s">
        <v>500</v>
      </c>
    </row>
    <row r="14" spans="1:4" ht="25.5" customHeight="1" x14ac:dyDescent="0.2">
      <c r="A14" s="26" t="s">
        <v>501</v>
      </c>
      <c r="B14" s="27">
        <v>92</v>
      </c>
      <c r="C14" s="28" t="s">
        <v>502</v>
      </c>
      <c r="D14" s="29"/>
    </row>
    <row r="15" spans="1:4" ht="25.5" customHeight="1" x14ac:dyDescent="0.2">
      <c r="A15" s="26" t="s">
        <v>503</v>
      </c>
      <c r="B15" s="27">
        <v>60000</v>
      </c>
      <c r="C15" s="28" t="s">
        <v>504</v>
      </c>
      <c r="D15" s="29" t="s">
        <v>505</v>
      </c>
    </row>
    <row r="16" spans="1:4" ht="25.5" customHeight="1" x14ac:dyDescent="0.2">
      <c r="A16" s="26" t="s">
        <v>506</v>
      </c>
      <c r="B16" s="27">
        <v>25000</v>
      </c>
      <c r="C16" s="28" t="s">
        <v>504</v>
      </c>
      <c r="D16" s="29"/>
    </row>
    <row r="17" spans="1:4" ht="25.5" customHeight="1" x14ac:dyDescent="0.2">
      <c r="A17" s="26" t="s">
        <v>507</v>
      </c>
      <c r="B17" s="27">
        <v>3.5</v>
      </c>
      <c r="C17" s="28" t="s">
        <v>508</v>
      </c>
      <c r="D17" s="29"/>
    </row>
    <row r="18" spans="1:4" ht="25.5" customHeight="1" x14ac:dyDescent="0.2">
      <c r="A18" s="26" t="s">
        <v>509</v>
      </c>
      <c r="B18" s="27">
        <v>20000</v>
      </c>
      <c r="C18" s="28" t="s">
        <v>504</v>
      </c>
      <c r="D18" s="29"/>
    </row>
    <row r="19" spans="1:4" ht="25.5" customHeight="1" x14ac:dyDescent="0.2">
      <c r="A19" s="26" t="s">
        <v>510</v>
      </c>
      <c r="B19" s="27">
        <v>130</v>
      </c>
      <c r="C19" s="28" t="s">
        <v>496</v>
      </c>
      <c r="D19" s="29"/>
    </row>
    <row r="21" spans="1:4" ht="19.5" customHeight="1" x14ac:dyDescent="0.2">
      <c r="A21" s="24" t="s">
        <v>511</v>
      </c>
      <c r="B21" s="25"/>
      <c r="C21" s="25"/>
      <c r="D21" s="25"/>
    </row>
    <row r="22" spans="1:4" ht="25.5" customHeight="1" x14ac:dyDescent="0.2">
      <c r="A22" s="26" t="s">
        <v>144</v>
      </c>
      <c r="B22" s="65">
        <f>B6*B12</f>
        <v>936011.99772143736</v>
      </c>
      <c r="C22" s="28" t="s">
        <v>145</v>
      </c>
      <c r="D22" s="29" t="s">
        <v>512</v>
      </c>
    </row>
    <row r="23" spans="1:4" ht="25.5" customHeight="1" x14ac:dyDescent="0.2">
      <c r="A23" s="26" t="s">
        <v>153</v>
      </c>
      <c r="B23" s="65">
        <f>B7*B13</f>
        <v>3500</v>
      </c>
      <c r="C23" s="28" t="s">
        <v>145</v>
      </c>
      <c r="D23" s="29"/>
    </row>
    <row r="24" spans="1:4" ht="25.5" customHeight="1" x14ac:dyDescent="0.2">
      <c r="A24" s="26" t="s">
        <v>154</v>
      </c>
      <c r="B24" s="65">
        <f>B8*B14</f>
        <v>64400</v>
      </c>
      <c r="C24" s="28" t="s">
        <v>145</v>
      </c>
      <c r="D24" s="29"/>
    </row>
    <row r="25" spans="1:4" ht="25.5" customHeight="1" x14ac:dyDescent="0.2">
      <c r="A25" s="26" t="s">
        <v>513</v>
      </c>
      <c r="B25" s="65">
        <f>B9*B17</f>
        <v>21875</v>
      </c>
      <c r="C25" s="28" t="s">
        <v>145</v>
      </c>
      <c r="D25" s="29" t="s">
        <v>514</v>
      </c>
    </row>
    <row r="26" spans="1:4" ht="25.5" customHeight="1" x14ac:dyDescent="0.2">
      <c r="A26" s="38" t="s">
        <v>515</v>
      </c>
      <c r="B26" s="39">
        <f>B22+B23+B24+B25+B15+B16+B18</f>
        <v>1130786.9977214374</v>
      </c>
      <c r="C26" s="74" t="s">
        <v>145</v>
      </c>
      <c r="D26" s="75" t="s">
        <v>516</v>
      </c>
    </row>
    <row r="28" spans="1:4" ht="19.5" customHeight="1" x14ac:dyDescent="0.2">
      <c r="A28" s="24" t="s">
        <v>517</v>
      </c>
      <c r="B28" s="25"/>
      <c r="C28" s="25"/>
      <c r="D28" s="25"/>
    </row>
    <row r="29" spans="1:4" ht="25.5" customHeight="1" x14ac:dyDescent="0.2">
      <c r="A29" s="26" t="s">
        <v>518</v>
      </c>
      <c r="B29" s="65">
        <f>B5*B19</f>
        <v>1141064.9418328782</v>
      </c>
      <c r="C29" s="28" t="s">
        <v>145</v>
      </c>
      <c r="D29" s="29" t="s">
        <v>519</v>
      </c>
    </row>
    <row r="30" spans="1:4" ht="25.5" customHeight="1" x14ac:dyDescent="0.2">
      <c r="A30" s="38" t="s">
        <v>520</v>
      </c>
      <c r="B30" s="39">
        <f>B29-B26</f>
        <v>10277.944111440796</v>
      </c>
      <c r="C30" s="74" t="s">
        <v>145</v>
      </c>
      <c r="D30" s="75"/>
    </row>
    <row r="31" spans="1:4" ht="25.5" customHeight="1" x14ac:dyDescent="0.2">
      <c r="A31" s="26" t="s">
        <v>521</v>
      </c>
      <c r="B31" s="33">
        <f>B26/B5</f>
        <v>128.82904759799112</v>
      </c>
      <c r="C31" s="28" t="s">
        <v>496</v>
      </c>
      <c r="D31" s="29"/>
    </row>
    <row r="32" spans="1:4" ht="25.5" customHeight="1" x14ac:dyDescent="0.2">
      <c r="A32" s="26" t="s">
        <v>522</v>
      </c>
      <c r="B32" s="33">
        <f>B30/B5</f>
        <v>1.1709524020088553</v>
      </c>
      <c r="C32" s="28" t="s">
        <v>496</v>
      </c>
      <c r="D32" s="29"/>
    </row>
    <row r="34" spans="1:4" ht="19.5" customHeight="1" x14ac:dyDescent="0.2">
      <c r="A34" s="24" t="s">
        <v>523</v>
      </c>
      <c r="B34" s="25"/>
      <c r="C34" s="25"/>
      <c r="D34" s="25"/>
    </row>
    <row r="35" spans="1:4" ht="25.5" customHeight="1" x14ac:dyDescent="0.2">
      <c r="A35" s="26" t="s">
        <v>524</v>
      </c>
      <c r="B35" s="65">
        <f>IF('Carbon Reduction Summary'!B9=0,"",B30/'Carbon Reduction Summary'!B9)</f>
        <v>447.11388510085288</v>
      </c>
      <c r="C35" s="28" t="s">
        <v>525</v>
      </c>
      <c r="D35" s="37" t="s">
        <v>526</v>
      </c>
    </row>
    <row r="37" spans="1:4" ht="19.5" customHeight="1" x14ac:dyDescent="0.2">
      <c r="A37" s="24" t="s">
        <v>527</v>
      </c>
      <c r="B37" s="25"/>
      <c r="C37" s="25"/>
      <c r="D37" s="25"/>
    </row>
    <row r="38" spans="1:4" ht="25.5" customHeight="1" x14ac:dyDescent="0.2">
      <c r="A38" s="43" t="s">
        <v>528</v>
      </c>
      <c r="B38" s="72">
        <f>Dashboard!$B$12</f>
        <v>1</v>
      </c>
      <c r="C38" s="28" t="s">
        <v>114</v>
      </c>
      <c r="D38" s="29" t="s">
        <v>529</v>
      </c>
    </row>
    <row r="39" spans="1:4" ht="25.5" customHeight="1" x14ac:dyDescent="0.2">
      <c r="A39" s="26" t="s">
        <v>530</v>
      </c>
      <c r="B39" s="65">
        <f>B5*B38</f>
        <v>8777.422629483679</v>
      </c>
      <c r="C39" s="28" t="s">
        <v>531</v>
      </c>
      <c r="D39" s="29"/>
    </row>
    <row r="40" spans="1:4" ht="25.5" customHeight="1" x14ac:dyDescent="0.2">
      <c r="A40" s="26" t="s">
        <v>532</v>
      </c>
      <c r="B40" s="65">
        <f>B26*B38</f>
        <v>1130786.9977214374</v>
      </c>
      <c r="C40" s="28" t="s">
        <v>533</v>
      </c>
      <c r="D40" s="29"/>
    </row>
    <row r="41" spans="1:4" ht="25.5" customHeight="1" x14ac:dyDescent="0.2">
      <c r="A41" s="26" t="s">
        <v>534</v>
      </c>
      <c r="B41" s="65">
        <f>B29*B38</f>
        <v>1141064.9418328782</v>
      </c>
      <c r="C41" s="28" t="s">
        <v>533</v>
      </c>
      <c r="D41" s="29"/>
    </row>
    <row r="42" spans="1:4" ht="25.5" customHeight="1" x14ac:dyDescent="0.2">
      <c r="A42" s="38" t="s">
        <v>535</v>
      </c>
      <c r="B42" s="39">
        <f>B30*B38</f>
        <v>10277.944111440796</v>
      </c>
      <c r="C42" s="74" t="s">
        <v>533</v>
      </c>
      <c r="D42" s="75"/>
    </row>
  </sheetData>
  <mergeCells count="2">
    <mergeCell ref="A1:D1"/>
    <mergeCell ref="A2:D2"/>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37"/>
  <sheetViews>
    <sheetView zoomScaleNormal="100" workbookViewId="0">
      <pane ySplit="3" topLeftCell="A4" activePane="bottomLeft" state="frozen"/>
      <selection pane="bottomLeft"/>
    </sheetView>
  </sheetViews>
  <sheetFormatPr defaultColWidth="8.7421875" defaultRowHeight="15" x14ac:dyDescent="0.2"/>
  <cols>
    <col min="1" max="1" width="39.953125" style="13" customWidth="1"/>
    <col min="2" max="2" width="11.97265625" style="13" customWidth="1"/>
    <col min="3" max="4" width="16.0078125" style="13" customWidth="1"/>
    <col min="5" max="5" width="43.98828125" style="13" customWidth="1"/>
  </cols>
  <sheetData>
    <row r="1" spans="1:5" ht="17.25" customHeight="1" x14ac:dyDescent="0.2">
      <c r="A1" s="5" t="s">
        <v>66</v>
      </c>
      <c r="B1" s="5"/>
      <c r="C1" s="5"/>
      <c r="D1" s="5"/>
      <c r="E1" s="5"/>
    </row>
    <row r="2" spans="1:5" ht="15" customHeight="1" x14ac:dyDescent="0.2">
      <c r="A2" s="7" t="s">
        <v>536</v>
      </c>
      <c r="B2" s="7"/>
      <c r="C2" s="7"/>
      <c r="D2" s="7"/>
      <c r="E2" s="7"/>
    </row>
    <row r="4" spans="1:5" ht="19.5" customHeight="1" x14ac:dyDescent="0.2">
      <c r="A4" s="24" t="s">
        <v>537</v>
      </c>
      <c r="B4" s="25"/>
      <c r="C4" s="25"/>
      <c r="D4" s="25"/>
      <c r="E4" s="25"/>
    </row>
    <row r="5" spans="1:5" ht="31.5" customHeight="1" x14ac:dyDescent="0.2">
      <c r="A5" s="19" t="s">
        <v>538</v>
      </c>
      <c r="B5" s="19" t="s">
        <v>539</v>
      </c>
      <c r="C5" s="19" t="s">
        <v>540</v>
      </c>
      <c r="D5" s="19" t="s">
        <v>541</v>
      </c>
      <c r="E5" s="19" t="s">
        <v>542</v>
      </c>
    </row>
    <row r="6" spans="1:5" ht="30" customHeight="1" x14ac:dyDescent="0.2">
      <c r="A6" s="43" t="s">
        <v>543</v>
      </c>
      <c r="B6" s="27" t="s">
        <v>186</v>
      </c>
      <c r="C6" s="51">
        <v>0.05</v>
      </c>
      <c r="D6" s="51">
        <v>0</v>
      </c>
      <c r="E6" s="22" t="s">
        <v>544</v>
      </c>
    </row>
    <row r="7" spans="1:5" ht="30" customHeight="1" x14ac:dyDescent="0.2">
      <c r="A7" s="43" t="s">
        <v>545</v>
      </c>
      <c r="B7" s="27" t="s">
        <v>186</v>
      </c>
      <c r="C7" s="51">
        <v>0.03</v>
      </c>
      <c r="D7" s="51">
        <v>0.3</v>
      </c>
      <c r="E7" s="22" t="s">
        <v>546</v>
      </c>
    </row>
    <row r="8" spans="1:5" ht="30" customHeight="1" x14ac:dyDescent="0.2">
      <c r="A8" s="43" t="s">
        <v>547</v>
      </c>
      <c r="B8" s="27" t="s">
        <v>186</v>
      </c>
      <c r="C8" s="51">
        <v>0.02</v>
      </c>
      <c r="D8" s="51">
        <v>0.4</v>
      </c>
      <c r="E8" s="22" t="s">
        <v>548</v>
      </c>
    </row>
    <row r="9" spans="1:5" ht="30" customHeight="1" x14ac:dyDescent="0.2">
      <c r="A9" s="43" t="s">
        <v>549</v>
      </c>
      <c r="B9" s="27" t="s">
        <v>180</v>
      </c>
      <c r="C9" s="51">
        <v>0</v>
      </c>
      <c r="D9" s="51">
        <v>0.2</v>
      </c>
      <c r="E9" s="22" t="s">
        <v>550</v>
      </c>
    </row>
    <row r="10" spans="1:5" ht="30" customHeight="1" x14ac:dyDescent="0.2">
      <c r="A10" s="43" t="s">
        <v>551</v>
      </c>
      <c r="B10" s="27" t="s">
        <v>186</v>
      </c>
      <c r="C10" s="51">
        <v>0.03</v>
      </c>
      <c r="D10" s="51">
        <v>0</v>
      </c>
      <c r="E10" s="22" t="s">
        <v>552</v>
      </c>
    </row>
    <row r="12" spans="1:5" ht="19.5" customHeight="1" x14ac:dyDescent="0.2">
      <c r="A12" s="24" t="s">
        <v>553</v>
      </c>
      <c r="B12" s="25"/>
      <c r="C12" s="25"/>
      <c r="D12" s="25"/>
      <c r="E12" s="25"/>
    </row>
    <row r="13" spans="1:5" ht="25.5" customHeight="1" x14ac:dyDescent="0.2">
      <c r="A13" s="26" t="s">
        <v>554</v>
      </c>
      <c r="B13" s="84">
        <f>1-(IF($B$6="Yes",1-$C$6,1)*IF($B$7="Yes",1-$C$7,1)*IF($B$8="Yes",1-$C$8,1)*IF($B$9="Yes",1-$C$9,1)*IF($B$10="Yes",1-$C$10,1)*IF($B$36="Yes",1-$C$36,1))</f>
        <v>0.14154165800000018</v>
      </c>
      <c r="C13" s="28" t="s">
        <v>244</v>
      </c>
      <c r="D13" s="37" t="s">
        <v>555</v>
      </c>
    </row>
    <row r="14" spans="1:5" ht="25.5" customHeight="1" x14ac:dyDescent="0.2">
      <c r="A14" s="26" t="s">
        <v>556</v>
      </c>
      <c r="B14" s="84">
        <f>1-(IF($B$6="Yes",1-$D$6,1)*IF($B$7="Yes",1-$D$7,1)*IF($B$8="Yes",1-$D$8,1)*IF($B$9="Yes",1-$D$9,1)*IF($B$10="Yes",1-$D$10,1)*IF($B$37="Yes",1-$D$37,1))</f>
        <v>0.64300000000000002</v>
      </c>
      <c r="C14" s="28" t="s">
        <v>244</v>
      </c>
      <c r="D14" s="37" t="s">
        <v>555</v>
      </c>
    </row>
    <row r="15" spans="1:5" ht="25.5" customHeight="1" x14ac:dyDescent="0.2">
      <c r="A15" s="43" t="s">
        <v>557</v>
      </c>
      <c r="B15" s="45">
        <f>IF(B6="Yes",0.05,0)</f>
        <v>0.05</v>
      </c>
      <c r="C15" s="28" t="s">
        <v>244</v>
      </c>
      <c r="D15" s="29"/>
    </row>
    <row r="16" spans="1:5" ht="25.5" customHeight="1" x14ac:dyDescent="0.2">
      <c r="A16" s="26" t="s">
        <v>558</v>
      </c>
      <c r="B16" s="84">
        <f>1-(IF($B$10="Yes",1-0.2,1)*IF($B$37="Yes",1-$E$37,1))</f>
        <v>0.31999999999999995</v>
      </c>
      <c r="C16" s="28" t="s">
        <v>244</v>
      </c>
      <c r="D16" s="29"/>
    </row>
    <row r="17" spans="1:5" ht="25.5" customHeight="1" x14ac:dyDescent="0.2">
      <c r="A17" s="43" t="s">
        <v>559</v>
      </c>
      <c r="B17" s="45">
        <f>IF(B9="Yes",0.1,0)</f>
        <v>0</v>
      </c>
      <c r="C17" s="28" t="s">
        <v>244</v>
      </c>
      <c r="D17" s="29"/>
    </row>
    <row r="19" spans="1:5" ht="19.5" customHeight="1" x14ac:dyDescent="0.2">
      <c r="A19" s="24" t="s">
        <v>560</v>
      </c>
      <c r="B19" s="25"/>
      <c r="C19" s="25"/>
      <c r="D19" s="25"/>
      <c r="E19" s="25"/>
    </row>
    <row r="20" spans="1:5" ht="25.5" customHeight="1" x14ac:dyDescent="0.2">
      <c r="A20" s="26" t="s">
        <v>561</v>
      </c>
      <c r="B20" s="33">
        <f>Dashboard!$B$30*(1-B13)</f>
        <v>2.5753750259999997</v>
      </c>
      <c r="C20" s="28" t="s">
        <v>117</v>
      </c>
      <c r="D20" s="29"/>
    </row>
    <row r="21" spans="1:5" ht="25.5" customHeight="1" x14ac:dyDescent="0.2">
      <c r="A21" s="43" t="s">
        <v>562</v>
      </c>
      <c r="B21" s="58">
        <f>'Growth &amp; Feed Model'!B25*(B20/Dashboard!$B$30)</f>
        <v>17856.162392356731</v>
      </c>
      <c r="C21" s="28" t="s">
        <v>142</v>
      </c>
      <c r="D21" s="29" t="s">
        <v>563</v>
      </c>
    </row>
    <row r="22" spans="1:5" ht="25.5" customHeight="1" x14ac:dyDescent="0.2">
      <c r="A22" s="43" t="s">
        <v>564</v>
      </c>
      <c r="B22" s="36">
        <f>'Feed Emission Model'!B8*(1-B15)</f>
        <v>0.58424999999999994</v>
      </c>
      <c r="C22" s="28" t="s">
        <v>159</v>
      </c>
      <c r="D22" s="29"/>
    </row>
    <row r="23" spans="1:5" ht="25.5" customHeight="1" x14ac:dyDescent="0.2">
      <c r="A23" s="26" t="s">
        <v>565</v>
      </c>
      <c r="B23" s="79">
        <f>B21*B22/1000</f>
        <v>10.432462877734419</v>
      </c>
      <c r="C23" s="28" t="s">
        <v>151</v>
      </c>
      <c r="D23" s="29"/>
    </row>
    <row r="24" spans="1:5" ht="25.5" customHeight="1" x14ac:dyDescent="0.2">
      <c r="A24" s="43" t="s">
        <v>566</v>
      </c>
      <c r="B24" s="58">
        <f>B21*'Feed Emission Model'!B6*(1-'Feed Emission Model'!B11)</f>
        <v>5466.6641164200128</v>
      </c>
      <c r="C24" s="28" t="s">
        <v>147</v>
      </c>
      <c r="D24" s="29"/>
    </row>
    <row r="25" spans="1:5" ht="25.5" customHeight="1" x14ac:dyDescent="0.2">
      <c r="A25" s="43" t="s">
        <v>567</v>
      </c>
      <c r="B25" s="85">
        <f>'Pond Emission Model'!B9*(1-B14)*'Pond Emission Model'!B45</f>
        <v>7.1400000000000005E-2</v>
      </c>
      <c r="C25" s="28" t="s">
        <v>274</v>
      </c>
      <c r="D25" s="29"/>
    </row>
    <row r="26" spans="1:5" ht="25.5" customHeight="1" x14ac:dyDescent="0.2">
      <c r="A26" s="43" t="s">
        <v>568</v>
      </c>
      <c r="B26" s="64">
        <f>B24*(1-'Pond Emission Model'!B50)*B25*(16/12)*(1-'Pond Emission Model'!B10)</f>
        <v>312.25585432991113</v>
      </c>
      <c r="C26" s="28" t="s">
        <v>370</v>
      </c>
      <c r="D26" s="29"/>
    </row>
    <row r="27" spans="1:5" ht="25.5" customHeight="1" x14ac:dyDescent="0.2">
      <c r="A27" s="26" t="s">
        <v>569</v>
      </c>
      <c r="B27" s="79">
        <f>B26*'Pond Emission Model'!B12/1000</f>
        <v>8.7431639212375121</v>
      </c>
      <c r="C27" s="28" t="s">
        <v>151</v>
      </c>
      <c r="D27" s="29"/>
    </row>
    <row r="28" spans="1:5" ht="25.5" customHeight="1" x14ac:dyDescent="0.2">
      <c r="A28" s="43" t="s">
        <v>570</v>
      </c>
      <c r="B28" s="58">
        <f>B21*'Feed Emission Model'!B7*(1-'Feed Emission Model'!B12)</f>
        <v>521.32851720724716</v>
      </c>
      <c r="C28" s="28" t="s">
        <v>342</v>
      </c>
      <c r="D28" s="29"/>
    </row>
    <row r="29" spans="1:5" ht="25.5" customHeight="1" x14ac:dyDescent="0.2">
      <c r="A29" s="43" t="s">
        <v>571</v>
      </c>
      <c r="B29" s="47">
        <f>'Pond Emission Model'!B11*(1-B16)</f>
        <v>5.4400000000000004E-3</v>
      </c>
      <c r="C29" s="28" t="s">
        <v>274</v>
      </c>
      <c r="D29" s="29"/>
    </row>
    <row r="30" spans="1:5" ht="25.5" customHeight="1" x14ac:dyDescent="0.2">
      <c r="A30" s="43" t="s">
        <v>572</v>
      </c>
      <c r="B30" s="62">
        <f>B28*B29*(44/28)</f>
        <v>4.4566140670973819</v>
      </c>
      <c r="C30" s="28" t="s">
        <v>378</v>
      </c>
      <c r="D30" s="29"/>
    </row>
    <row r="31" spans="1:5" ht="25.5" customHeight="1" x14ac:dyDescent="0.2">
      <c r="A31" s="26" t="s">
        <v>573</v>
      </c>
      <c r="B31" s="79">
        <f>B30*'Pond Emission Model'!B13/1000</f>
        <v>1.1810027277808062</v>
      </c>
      <c r="C31" s="28" t="s">
        <v>151</v>
      </c>
      <c r="D31" s="29"/>
    </row>
    <row r="32" spans="1:5" ht="25.5" customHeight="1" x14ac:dyDescent="0.2">
      <c r="A32" s="26" t="s">
        <v>574</v>
      </c>
      <c r="B32" s="79">
        <f>'Energy Module'!B30*(1+B17)</f>
        <v>2.4550000000000001</v>
      </c>
      <c r="C32" s="28" t="s">
        <v>151</v>
      </c>
      <c r="D32" s="29"/>
    </row>
    <row r="34" spans="1:6" ht="19.5" customHeight="1" x14ac:dyDescent="0.2">
      <c r="A34" s="24" t="s">
        <v>575</v>
      </c>
      <c r="B34" s="25"/>
      <c r="C34" s="25"/>
      <c r="D34" s="25"/>
      <c r="E34" s="25"/>
      <c r="F34" s="25"/>
    </row>
    <row r="35" spans="1:6" ht="31.5" customHeight="1" x14ac:dyDescent="0.2">
      <c r="A35" s="19" t="s">
        <v>538</v>
      </c>
      <c r="B35" s="19" t="s">
        <v>539</v>
      </c>
      <c r="C35" s="19" t="s">
        <v>540</v>
      </c>
      <c r="D35" s="19" t="s">
        <v>541</v>
      </c>
      <c r="E35" s="19" t="s">
        <v>576</v>
      </c>
      <c r="F35" s="19" t="s">
        <v>485</v>
      </c>
    </row>
    <row r="36" spans="1:6" ht="33.75" customHeight="1" x14ac:dyDescent="0.2">
      <c r="A36" s="43" t="s">
        <v>577</v>
      </c>
      <c r="B36" s="30" t="s">
        <v>186</v>
      </c>
      <c r="C36" s="73">
        <v>0.02</v>
      </c>
      <c r="D36" s="73">
        <v>0</v>
      </c>
      <c r="E36" s="73">
        <v>0</v>
      </c>
      <c r="F36" s="22" t="s">
        <v>578</v>
      </c>
    </row>
    <row r="37" spans="1:6" ht="33.75" customHeight="1" x14ac:dyDescent="0.2">
      <c r="A37" s="43" t="s">
        <v>579</v>
      </c>
      <c r="B37" s="30" t="s">
        <v>186</v>
      </c>
      <c r="C37" s="73">
        <v>0</v>
      </c>
      <c r="D37" s="73">
        <v>0.15</v>
      </c>
      <c r="E37" s="73">
        <v>0.15</v>
      </c>
      <c r="F37" s="22" t="s">
        <v>580</v>
      </c>
    </row>
  </sheetData>
  <mergeCells count="2">
    <mergeCell ref="A1:E1"/>
    <mergeCell ref="A2:E2"/>
  </mergeCells>
  <dataValidations count="1">
    <dataValidation type="list" sqref="B6:B10 B36:B37" xr:uid="{00000000-0002-0000-0B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42"/>
  <sheetViews>
    <sheetView zoomScaleNormal="100" workbookViewId="0">
      <pane ySplit="4" topLeftCell="A5" activePane="bottomLeft" state="frozen"/>
      <selection pane="bottomLeft"/>
    </sheetView>
  </sheetViews>
  <sheetFormatPr defaultColWidth="8.7421875" defaultRowHeight="15" x14ac:dyDescent="0.2"/>
  <cols>
    <col min="1" max="1" width="43.98828125" style="13" customWidth="1"/>
    <col min="2" max="3" width="16.0078125" style="13" customWidth="1"/>
    <col min="4" max="4" width="13.98828125" style="13" customWidth="1"/>
    <col min="5" max="5" width="39.953125" style="13" customWidth="1"/>
  </cols>
  <sheetData>
    <row r="1" spans="1:5" ht="17.25" customHeight="1" x14ac:dyDescent="0.2">
      <c r="A1" s="5" t="s">
        <v>581</v>
      </c>
      <c r="B1" s="5"/>
      <c r="C1" s="5"/>
      <c r="D1" s="5"/>
      <c r="E1" s="5"/>
    </row>
    <row r="4" spans="1:5" ht="25.5" customHeight="1" x14ac:dyDescent="0.2">
      <c r="A4" s="19" t="s">
        <v>582</v>
      </c>
      <c r="B4" s="19" t="s">
        <v>583</v>
      </c>
      <c r="C4" s="19" t="s">
        <v>584</v>
      </c>
      <c r="D4" s="19" t="s">
        <v>585</v>
      </c>
      <c r="E4" s="19" t="s">
        <v>586</v>
      </c>
    </row>
    <row r="5" spans="1:5" ht="24" customHeight="1" x14ac:dyDescent="0.2">
      <c r="A5" s="43" t="s">
        <v>587</v>
      </c>
      <c r="B5" s="44">
        <f>'Feed Emission Model'!B15</f>
        <v>12.792163968859644</v>
      </c>
      <c r="C5" s="44">
        <f>'Improved Farming Scenario'!B23</f>
        <v>10.432462877734419</v>
      </c>
      <c r="D5" s="28" t="s">
        <v>151</v>
      </c>
      <c r="E5" s="22" t="s">
        <v>588</v>
      </c>
    </row>
    <row r="6" spans="1:5" ht="24" customHeight="1" x14ac:dyDescent="0.2">
      <c r="A6" s="43" t="s">
        <v>469</v>
      </c>
      <c r="B6" s="44">
        <f>'Energy Module'!B28</f>
        <v>0.35499999999999998</v>
      </c>
      <c r="C6" s="44">
        <f>'Energy Module'!B28*(1+'Improved Farming Scenario'!B17)</f>
        <v>0.35499999999999998</v>
      </c>
      <c r="D6" s="28" t="s">
        <v>151</v>
      </c>
      <c r="E6" s="22" t="s">
        <v>62</v>
      </c>
    </row>
    <row r="7" spans="1:5" ht="24" customHeight="1" x14ac:dyDescent="0.2">
      <c r="A7" s="43" t="s">
        <v>470</v>
      </c>
      <c r="B7" s="44">
        <f>'Energy Module'!B29</f>
        <v>2.1</v>
      </c>
      <c r="C7" s="44">
        <f>'Energy Module'!B29</f>
        <v>2.1</v>
      </c>
      <c r="D7" s="28" t="s">
        <v>151</v>
      </c>
      <c r="E7" s="22" t="s">
        <v>589</v>
      </c>
    </row>
    <row r="8" spans="1:5" ht="24" customHeight="1" x14ac:dyDescent="0.2">
      <c r="A8" s="43" t="s">
        <v>375</v>
      </c>
      <c r="B8" s="44">
        <f>'Pond Emission Model'!B24</f>
        <v>28.528647277751848</v>
      </c>
      <c r="C8" s="44">
        <f>'Improved Farming Scenario'!B27</f>
        <v>8.7431639212375121</v>
      </c>
      <c r="D8" s="28" t="s">
        <v>151</v>
      </c>
      <c r="E8" s="22" t="s">
        <v>590</v>
      </c>
    </row>
    <row r="9" spans="1:5" ht="24" customHeight="1" x14ac:dyDescent="0.2">
      <c r="A9" s="43" t="s">
        <v>381</v>
      </c>
      <c r="B9" s="44">
        <f>'Pond Emission Model'!B29</f>
        <v>2.0231252145310443</v>
      </c>
      <c r="C9" s="44">
        <f>'Improved Farming Scenario'!B31</f>
        <v>1.1810027277808062</v>
      </c>
      <c r="D9" s="28" t="s">
        <v>151</v>
      </c>
      <c r="E9" s="22" t="s">
        <v>590</v>
      </c>
    </row>
    <row r="10" spans="1:5" ht="24" customHeight="1" x14ac:dyDescent="0.2">
      <c r="A10" s="38" t="s">
        <v>591</v>
      </c>
      <c r="B10" s="41">
        <f>B5+B6+B7+B8+B9+'Pond Emission Model'!B41+'Pond Emission Model'!B53</f>
        <v>45.862936461142532</v>
      </c>
      <c r="C10" s="41">
        <f>C5+C6+C7+C8+C9+'Pond Emission Model'!B41+'Pond Emission Model'!B53</f>
        <v>22.875629526752739</v>
      </c>
      <c r="D10" s="74" t="s">
        <v>151</v>
      </c>
      <c r="E10" s="86"/>
    </row>
    <row r="12" spans="1:5" ht="19.5" customHeight="1" x14ac:dyDescent="0.2">
      <c r="A12" s="24" t="s">
        <v>592</v>
      </c>
      <c r="B12" s="25"/>
      <c r="C12" s="25"/>
      <c r="D12" s="25"/>
      <c r="E12" s="25"/>
    </row>
    <row r="13" spans="1:5" ht="25.5" customHeight="1" x14ac:dyDescent="0.2">
      <c r="A13" s="26" t="s">
        <v>593</v>
      </c>
      <c r="B13" s="51">
        <v>0.08</v>
      </c>
      <c r="C13" s="28" t="s">
        <v>274</v>
      </c>
      <c r="D13" s="29" t="s">
        <v>594</v>
      </c>
    </row>
    <row r="14" spans="1:5" ht="25.5" customHeight="1" x14ac:dyDescent="0.2">
      <c r="A14" s="43" t="s">
        <v>595</v>
      </c>
      <c r="B14" s="58">
        <f>'Harvest Schedule'!B15</f>
        <v>8777.422629483679</v>
      </c>
      <c r="C14" s="28" t="s">
        <v>142</v>
      </c>
      <c r="D14" s="29"/>
    </row>
    <row r="15" spans="1:5" ht="25.5" customHeight="1" x14ac:dyDescent="0.2">
      <c r="A15" s="26" t="s">
        <v>596</v>
      </c>
      <c r="B15" s="79">
        <f>B14*B13*(44/12)/1000</f>
        <v>2.5747106379818794</v>
      </c>
      <c r="C15" s="28" t="s">
        <v>151</v>
      </c>
      <c r="D15" s="29" t="s">
        <v>597</v>
      </c>
    </row>
    <row r="17" spans="1:5" ht="19.5" customHeight="1" x14ac:dyDescent="0.2">
      <c r="A17" s="24" t="s">
        <v>598</v>
      </c>
      <c r="B17" s="25"/>
      <c r="C17" s="25"/>
      <c r="D17" s="25"/>
      <c r="E17" s="25"/>
    </row>
    <row r="18" spans="1:5" ht="25.5" customHeight="1" x14ac:dyDescent="0.2">
      <c r="A18" s="26" t="s">
        <v>599</v>
      </c>
      <c r="B18" s="79">
        <f>B10-B15</f>
        <v>43.288225823160651</v>
      </c>
      <c r="C18" s="28" t="s">
        <v>151</v>
      </c>
      <c r="D18" s="29"/>
    </row>
    <row r="19" spans="1:5" ht="25.5" customHeight="1" x14ac:dyDescent="0.2">
      <c r="A19" s="26" t="s">
        <v>600</v>
      </c>
      <c r="B19" s="79">
        <f>C10-B15</f>
        <v>20.300918888770859</v>
      </c>
      <c r="C19" s="28" t="s">
        <v>151</v>
      </c>
      <c r="D19" s="29" t="s">
        <v>601</v>
      </c>
    </row>
    <row r="20" spans="1:5" ht="25.5" customHeight="1" x14ac:dyDescent="0.2">
      <c r="A20" s="26" t="s">
        <v>602</v>
      </c>
      <c r="B20" s="33">
        <f>B18*1000/B14</f>
        <v>4.9317695695492594</v>
      </c>
      <c r="C20" s="28" t="s">
        <v>159</v>
      </c>
      <c r="D20" s="29"/>
    </row>
    <row r="21" spans="1:5" ht="25.5" customHeight="1" x14ac:dyDescent="0.2">
      <c r="A21" s="26" t="s">
        <v>603</v>
      </c>
      <c r="B21" s="33">
        <f>B19*1000/B14</f>
        <v>2.3128564893957981</v>
      </c>
      <c r="C21" s="28" t="s">
        <v>159</v>
      </c>
      <c r="D21" s="29"/>
    </row>
    <row r="23" spans="1:5" ht="25.5" customHeight="1" x14ac:dyDescent="0.2">
      <c r="A23" s="26" t="s">
        <v>604</v>
      </c>
      <c r="B23" s="44">
        <f>'Pond Emission Model'!B41+'Pond Emission Model'!B53</f>
        <v>6.4000000000000001E-2</v>
      </c>
      <c r="C23" s="28" t="s">
        <v>151</v>
      </c>
      <c r="D23" s="22" t="s">
        <v>605</v>
      </c>
    </row>
    <row r="25" spans="1:5" ht="19.5" customHeight="1" x14ac:dyDescent="0.2">
      <c r="A25" s="24" t="s">
        <v>606</v>
      </c>
      <c r="B25" s="25"/>
      <c r="C25" s="25"/>
      <c r="D25" s="25"/>
      <c r="E25" s="25"/>
    </row>
    <row r="26" spans="1:5" ht="78" customHeight="1" x14ac:dyDescent="0.2">
      <c r="A26" s="4" t="s">
        <v>607</v>
      </c>
      <c r="B26" s="4"/>
      <c r="C26" s="4"/>
      <c r="D26" s="4"/>
      <c r="E26" s="4"/>
    </row>
    <row r="27" spans="1:5" ht="25.5" customHeight="1" x14ac:dyDescent="0.2">
      <c r="A27" s="26" t="s">
        <v>608</v>
      </c>
      <c r="B27" s="30">
        <v>0.3</v>
      </c>
      <c r="C27" s="28" t="s">
        <v>609</v>
      </c>
      <c r="D27" s="29" t="s">
        <v>610</v>
      </c>
    </row>
    <row r="28" spans="1:5" ht="25.5" customHeight="1" x14ac:dyDescent="0.2">
      <c r="A28" s="43" t="s">
        <v>611</v>
      </c>
      <c r="B28" s="44">
        <f>B27*Dashboard!$B$10*(44/12)</f>
        <v>1.0999999999999999</v>
      </c>
      <c r="C28" s="28" t="s">
        <v>163</v>
      </c>
      <c r="D28" s="29" t="s">
        <v>612</v>
      </c>
    </row>
    <row r="30" spans="1:5" ht="19.5" customHeight="1" x14ac:dyDescent="0.2">
      <c r="A30" s="24" t="s">
        <v>613</v>
      </c>
      <c r="B30" s="25"/>
      <c r="C30" s="25"/>
      <c r="D30" s="25"/>
      <c r="E30" s="25"/>
    </row>
    <row r="31" spans="1:5" ht="25.5" customHeight="1" x14ac:dyDescent="0.2">
      <c r="A31" s="26" t="s">
        <v>614</v>
      </c>
      <c r="B31" s="73">
        <v>0.65</v>
      </c>
      <c r="C31" s="28" t="s">
        <v>274</v>
      </c>
      <c r="D31" s="29" t="s">
        <v>615</v>
      </c>
    </row>
    <row r="32" spans="1:5" ht="25.5" customHeight="1" x14ac:dyDescent="0.2">
      <c r="A32" s="43" t="s">
        <v>616</v>
      </c>
      <c r="B32" s="58">
        <f>B14*B31</f>
        <v>5705.3247091643916</v>
      </c>
      <c r="C32" s="28" t="s">
        <v>142</v>
      </c>
      <c r="D32" s="29" t="s">
        <v>617</v>
      </c>
    </row>
    <row r="33" spans="1:7" ht="25.5" customHeight="1" x14ac:dyDescent="0.2">
      <c r="A33" s="26" t="s">
        <v>618</v>
      </c>
      <c r="B33" s="33">
        <f>B18*1000/B32</f>
        <v>7.5873377993065532</v>
      </c>
      <c r="C33" s="28" t="s">
        <v>619</v>
      </c>
      <c r="D33" s="29"/>
    </row>
    <row r="34" spans="1:7" ht="25.5" customHeight="1" x14ac:dyDescent="0.2">
      <c r="A34" s="26" t="s">
        <v>620</v>
      </c>
      <c r="B34" s="33">
        <f>B19*1000/B32</f>
        <v>3.5582407529166127</v>
      </c>
      <c r="C34" s="28" t="s">
        <v>619</v>
      </c>
      <c r="D34" s="29"/>
    </row>
    <row r="36" spans="1:7" ht="19.5" customHeight="1" x14ac:dyDescent="0.2">
      <c r="A36" s="66" t="s">
        <v>621</v>
      </c>
      <c r="B36" s="25"/>
      <c r="C36" s="25"/>
      <c r="D36" s="25"/>
      <c r="E36" s="25"/>
    </row>
    <row r="37" spans="1:7" ht="43.5" customHeight="1" x14ac:dyDescent="0.2">
      <c r="A37" s="4" t="s">
        <v>622</v>
      </c>
      <c r="B37" s="4"/>
      <c r="C37" s="4"/>
      <c r="D37" s="4"/>
      <c r="E37" s="4"/>
    </row>
    <row r="38" spans="1:7" ht="31.5" customHeight="1" x14ac:dyDescent="0.2">
      <c r="A38" s="19" t="s">
        <v>623</v>
      </c>
      <c r="B38" s="19" t="s">
        <v>624</v>
      </c>
      <c r="C38" s="19" t="s">
        <v>625</v>
      </c>
      <c r="D38" s="19" t="s">
        <v>626</v>
      </c>
      <c r="E38" s="19" t="s">
        <v>627</v>
      </c>
      <c r="F38" s="19" t="s">
        <v>628</v>
      </c>
      <c r="G38" s="19" t="s">
        <v>629</v>
      </c>
    </row>
    <row r="39" spans="1:7" ht="21.75" customHeight="1" x14ac:dyDescent="0.2">
      <c r="A39" s="27"/>
      <c r="B39" s="27"/>
      <c r="C39" s="27"/>
      <c r="D39" s="27"/>
      <c r="E39" s="27"/>
      <c r="F39" s="27"/>
      <c r="G39" s="27"/>
    </row>
    <row r="40" spans="1:7" ht="21.75" customHeight="1" x14ac:dyDescent="0.2">
      <c r="A40" s="27"/>
      <c r="B40" s="27"/>
      <c r="C40" s="27"/>
      <c r="D40" s="27"/>
      <c r="E40" s="27"/>
      <c r="F40" s="27"/>
      <c r="G40" s="27"/>
    </row>
    <row r="41" spans="1:7" ht="21.75" customHeight="1" x14ac:dyDescent="0.2">
      <c r="A41" s="27"/>
      <c r="B41" s="27"/>
      <c r="C41" s="27"/>
      <c r="D41" s="27"/>
      <c r="E41" s="27"/>
      <c r="F41" s="27"/>
      <c r="G41" s="27"/>
    </row>
    <row r="42" spans="1:7" ht="21.75" customHeight="1" x14ac:dyDescent="0.2">
      <c r="A42" s="27"/>
      <c r="B42" s="27"/>
      <c r="C42" s="27"/>
      <c r="D42" s="27"/>
      <c r="E42" s="27"/>
      <c r="F42" s="27"/>
      <c r="G42" s="27"/>
    </row>
  </sheetData>
  <mergeCells count="3">
    <mergeCell ref="A1:E1"/>
    <mergeCell ref="A26:E26"/>
    <mergeCell ref="A37:E37"/>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4"/>
  <sheetViews>
    <sheetView zoomScaleNormal="100" workbookViewId="0">
      <pane ySplit="3" topLeftCell="A4" activePane="bottomLeft" state="frozen"/>
      <selection pane="bottomLeft"/>
    </sheetView>
  </sheetViews>
  <sheetFormatPr defaultColWidth="8.7421875" defaultRowHeight="15" x14ac:dyDescent="0.2"/>
  <cols>
    <col min="1" max="1" width="46.00390625" style="13" customWidth="1"/>
    <col min="2" max="2" width="18.0234375" style="13" customWidth="1"/>
    <col min="3" max="3" width="13.98828125" style="13" customWidth="1"/>
    <col min="4" max="4" width="43.98828125" style="13" customWidth="1"/>
  </cols>
  <sheetData>
    <row r="1" spans="1:4" ht="19.5" customHeight="1" x14ac:dyDescent="0.25">
      <c r="A1" s="12" t="s">
        <v>630</v>
      </c>
      <c r="B1" s="12"/>
      <c r="C1" s="12"/>
      <c r="D1" s="12"/>
    </row>
    <row r="4" spans="1:4" ht="19.5" customHeight="1" x14ac:dyDescent="0.2">
      <c r="A4" s="24" t="s">
        <v>631</v>
      </c>
      <c r="B4" s="25"/>
      <c r="C4" s="25"/>
      <c r="D4" s="25"/>
    </row>
    <row r="5" spans="1:4" ht="25.5" customHeight="1" x14ac:dyDescent="0.2">
      <c r="A5" s="26" t="s">
        <v>632</v>
      </c>
      <c r="B5" s="79">
        <f>'Carbon Accounting'!B18</f>
        <v>43.288225823160651</v>
      </c>
      <c r="C5" s="28" t="s">
        <v>161</v>
      </c>
      <c r="D5" s="29"/>
    </row>
    <row r="6" spans="1:4" ht="25.5" customHeight="1" x14ac:dyDescent="0.2">
      <c r="A6" s="26" t="s">
        <v>633</v>
      </c>
      <c r="B6" s="79">
        <f>'Carbon Accounting'!B19</f>
        <v>20.300918888770859</v>
      </c>
      <c r="C6" s="28" t="s">
        <v>161</v>
      </c>
      <c r="D6" s="29"/>
    </row>
    <row r="8" spans="1:4" ht="19.5" customHeight="1" x14ac:dyDescent="0.2">
      <c r="A8" s="24" t="s">
        <v>634</v>
      </c>
      <c r="B8" s="25"/>
      <c r="C8" s="25"/>
      <c r="D8" s="25"/>
    </row>
    <row r="9" spans="1:4" ht="25.5" customHeight="1" x14ac:dyDescent="0.2">
      <c r="A9" s="26" t="s">
        <v>635</v>
      </c>
      <c r="B9" s="79">
        <f>B5-B6</f>
        <v>22.987306934389792</v>
      </c>
      <c r="C9" s="28" t="s">
        <v>151</v>
      </c>
      <c r="D9" s="29"/>
    </row>
    <row r="10" spans="1:4" ht="25.5" customHeight="1" x14ac:dyDescent="0.2">
      <c r="A10" s="26" t="s">
        <v>636</v>
      </c>
      <c r="B10" s="85">
        <f>B9/B5</f>
        <v>0.53102908463600773</v>
      </c>
      <c r="C10" s="28" t="s">
        <v>244</v>
      </c>
      <c r="D10" s="29"/>
    </row>
    <row r="11" spans="1:4" ht="25.5" customHeight="1" x14ac:dyDescent="0.2">
      <c r="A11" s="26" t="s">
        <v>637</v>
      </c>
      <c r="B11" s="79">
        <f>B9*Dashboard!$B$12</f>
        <v>22.987306934389792</v>
      </c>
      <c r="C11" s="28" t="s">
        <v>163</v>
      </c>
      <c r="D11" s="29"/>
    </row>
    <row r="12" spans="1:4" ht="25.5" customHeight="1" x14ac:dyDescent="0.2">
      <c r="A12" s="26" t="s">
        <v>638</v>
      </c>
      <c r="B12" s="79">
        <f>B11/Dashboard!$B$10</f>
        <v>22.987306934389792</v>
      </c>
      <c r="C12" s="28" t="s">
        <v>639</v>
      </c>
      <c r="D12" s="29"/>
    </row>
    <row r="14" spans="1:4" ht="30" customHeight="1" x14ac:dyDescent="0.2">
      <c r="A14" s="2" t="s">
        <v>640</v>
      </c>
      <c r="B14" s="2"/>
      <c r="C14" s="2"/>
      <c r="D14" s="2"/>
    </row>
  </sheetData>
  <mergeCells count="2">
    <mergeCell ref="A1:D1"/>
    <mergeCell ref="A14:D14"/>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36"/>
  <sheetViews>
    <sheetView zoomScaleNormal="100" workbookViewId="0">
      <pane ySplit="3" topLeftCell="A4" activePane="bottomLeft" state="frozen"/>
      <selection pane="bottomLeft"/>
    </sheetView>
  </sheetViews>
  <sheetFormatPr defaultColWidth="8.7421875" defaultRowHeight="15" x14ac:dyDescent="0.2"/>
  <cols>
    <col min="1" max="1" width="13.98828125" style="13" customWidth="1"/>
    <col min="2" max="2" width="11.97265625" style="13" customWidth="1"/>
    <col min="3" max="3" width="13.98828125" style="13" customWidth="1"/>
    <col min="4" max="5" width="16.0078125" style="13" customWidth="1"/>
    <col min="6" max="7" width="18.0234375" style="13" customWidth="1"/>
    <col min="8" max="8" width="16.0078125" style="13" customWidth="1"/>
  </cols>
  <sheetData>
    <row r="1" spans="1:8" ht="19.5" customHeight="1" x14ac:dyDescent="0.25">
      <c r="A1" s="12" t="s">
        <v>55</v>
      </c>
      <c r="B1" s="12"/>
      <c r="C1" s="12"/>
      <c r="D1" s="12"/>
      <c r="E1" s="12"/>
      <c r="F1" s="12"/>
      <c r="G1" s="12"/>
      <c r="H1" s="12"/>
    </row>
    <row r="2" spans="1:8" ht="55.5" customHeight="1" x14ac:dyDescent="0.2">
      <c r="A2" s="7" t="s">
        <v>641</v>
      </c>
      <c r="B2" s="7"/>
      <c r="C2" s="7"/>
      <c r="D2" s="7"/>
      <c r="E2" s="7"/>
      <c r="F2" s="7"/>
      <c r="G2" s="7"/>
      <c r="H2" s="7"/>
    </row>
    <row r="4" spans="1:8" ht="19.5" customHeight="1" x14ac:dyDescent="0.2">
      <c r="A4" s="24" t="s">
        <v>642</v>
      </c>
      <c r="B4" s="25"/>
      <c r="C4" s="25"/>
      <c r="D4" s="25"/>
      <c r="E4" s="25"/>
      <c r="F4" s="25"/>
      <c r="G4" s="25"/>
      <c r="H4" s="25"/>
    </row>
    <row r="5" spans="1:8" ht="31.5" customHeight="1" x14ac:dyDescent="0.2">
      <c r="A5" s="19" t="s">
        <v>643</v>
      </c>
      <c r="B5" s="19" t="s">
        <v>644</v>
      </c>
      <c r="C5" s="19" t="s">
        <v>645</v>
      </c>
      <c r="D5" s="19" t="s">
        <v>646</v>
      </c>
      <c r="E5" s="19" t="s">
        <v>647</v>
      </c>
      <c r="F5" s="19" t="s">
        <v>648</v>
      </c>
      <c r="G5" s="19" t="s">
        <v>649</v>
      </c>
      <c r="H5" s="19" t="s">
        <v>650</v>
      </c>
    </row>
    <row r="6" spans="1:8" ht="19.5" customHeight="1" x14ac:dyDescent="0.2">
      <c r="A6" s="46" t="s">
        <v>651</v>
      </c>
      <c r="B6" s="45">
        <v>-0.2</v>
      </c>
      <c r="C6" s="36">
        <f>Dashboard!$B$30*(1+B6)</f>
        <v>2.4000000000000004</v>
      </c>
      <c r="D6" s="58">
        <f>'Economics Module'!$B$6*(C6/Dashboard!$B$30)</f>
        <v>16640.213292825556</v>
      </c>
      <c r="E6" s="44">
        <f>((('Carbon Accounting'!$B$5+'Carbon Accounting'!$B$8+'Carbon Accounting'!$B$9)*(D6/'Economics Module'!$B$6))+('Carbon Accounting'!$B$6+'Carbon Accounting'!$B$7+'Pond Emission Model'!$B$41+'Pond Emission Model'!$B$53))-'Carbon Accounting'!$B$15</f>
        <v>34.61943853093215</v>
      </c>
      <c r="F6" s="36">
        <f>E6*1000/'Economics Module'!$B$5</f>
        <v>3.9441462479708118</v>
      </c>
      <c r="G6" s="58">
        <f>'Economics Module'!$B$29-(D6*'Economics Module'!$B$12+'Economics Module'!$B$23+'Economics Module'!$B$24+'Economics Module'!$B$25+'Economics Module'!$B$15+'Economics Module'!$B$16+'Economics Module'!$B$18)</f>
        <v>197480.34365572815</v>
      </c>
      <c r="H6" s="77">
        <f>G6-G8</f>
        <v>187202.39954428736</v>
      </c>
    </row>
    <row r="7" spans="1:8" ht="19.5" customHeight="1" x14ac:dyDescent="0.2">
      <c r="A7" s="46" t="s">
        <v>652</v>
      </c>
      <c r="B7" s="45">
        <v>-0.1</v>
      </c>
      <c r="C7" s="36">
        <f>Dashboard!$B$30*(1+B7)</f>
        <v>2.7</v>
      </c>
      <c r="D7" s="58">
        <f>'Economics Module'!$B$6*(C7/Dashboard!$B$30)</f>
        <v>18720.239954428747</v>
      </c>
      <c r="E7" s="44">
        <f>((('Carbon Accounting'!$B$5+'Carbon Accounting'!$B$8+'Carbon Accounting'!$B$9)*(D7/'Economics Module'!$B$6))+('Carbon Accounting'!$B$6+'Carbon Accounting'!$B$7+'Pond Emission Model'!$B$41+'Pond Emission Model'!$B$53))-'Carbon Accounting'!$B$15</f>
        <v>38.953832177046394</v>
      </c>
      <c r="F7" s="36">
        <f>E7*1000/'Economics Module'!$B$5</f>
        <v>4.4379579087600352</v>
      </c>
      <c r="G7" s="58">
        <f>'Economics Module'!$B$29-(D7*'Economics Module'!$B$12+'Economics Module'!$B$23+'Economics Module'!$B$24+'Economics Module'!$B$25+'Economics Module'!$B$15+'Economics Module'!$B$16+'Economics Module'!$B$18)</f>
        <v>103879.14388358453</v>
      </c>
      <c r="H7" s="77">
        <f>G7-G8</f>
        <v>93601.199772143736</v>
      </c>
    </row>
    <row r="8" spans="1:8" ht="19.5" customHeight="1" x14ac:dyDescent="0.2">
      <c r="A8" s="20" t="s">
        <v>653</v>
      </c>
      <c r="B8" s="45">
        <v>0</v>
      </c>
      <c r="C8" s="36">
        <f>Dashboard!$B$30*(1+B8)</f>
        <v>3</v>
      </c>
      <c r="D8" s="58">
        <f>'Economics Module'!$B$6*(C8/Dashboard!$B$30)</f>
        <v>20800.266616031942</v>
      </c>
      <c r="E8" s="44">
        <f>((('Carbon Accounting'!$B$5+'Carbon Accounting'!$B$8+'Carbon Accounting'!$B$9)*(D8/'Economics Module'!$B$6))+('Carbon Accounting'!$B$6+'Carbon Accounting'!$B$7+'Pond Emission Model'!$B$41+'Pond Emission Model'!$B$53))-'Carbon Accounting'!$B$15</f>
        <v>43.288225823160651</v>
      </c>
      <c r="F8" s="36">
        <f>E8*1000/'Economics Module'!$B$5</f>
        <v>4.9317695695492594</v>
      </c>
      <c r="G8" s="58">
        <f>'Economics Module'!$B$29-(D8*'Economics Module'!$B$12+'Economics Module'!$B$23+'Economics Module'!$B$24+'Economics Module'!$B$25+'Economics Module'!$B$15+'Economics Module'!$B$16+'Economics Module'!$B$18)</f>
        <v>10277.944111440796</v>
      </c>
      <c r="H8" s="77">
        <f>G8-G8</f>
        <v>0</v>
      </c>
    </row>
    <row r="9" spans="1:8" ht="19.5" customHeight="1" x14ac:dyDescent="0.2">
      <c r="A9" s="46" t="s">
        <v>654</v>
      </c>
      <c r="B9" s="45">
        <v>0.1</v>
      </c>
      <c r="C9" s="36">
        <f>Dashboard!$B$30*(1+B9)</f>
        <v>3.3000000000000003</v>
      </c>
      <c r="D9" s="58">
        <f>'Economics Module'!$B$6*(C9/Dashboard!$B$30)</f>
        <v>22880.293277635137</v>
      </c>
      <c r="E9" s="44">
        <f>((('Carbon Accounting'!$B$5+'Carbon Accounting'!$B$8+'Carbon Accounting'!$B$9)*(D9/'Economics Module'!$B$6))+('Carbon Accounting'!$B$6+'Carbon Accounting'!$B$7+'Pond Emission Model'!$B$41+'Pond Emission Model'!$B$53))-'Carbon Accounting'!$B$15</f>
        <v>47.622619469274909</v>
      </c>
      <c r="F9" s="36">
        <f>E9*1000/'Economics Module'!$B$5</f>
        <v>5.4255812303384845</v>
      </c>
      <c r="G9" s="58">
        <f>'Economics Module'!$B$29-(D9*'Economics Module'!$B$12+'Economics Module'!$B$23+'Economics Module'!$B$24+'Economics Module'!$B$25+'Economics Module'!$B$15+'Economics Module'!$B$16+'Economics Module'!$B$18)</f>
        <v>-83323.25566070294</v>
      </c>
      <c r="H9" s="77">
        <f>G9-G8</f>
        <v>-93601.199772143736</v>
      </c>
    </row>
    <row r="10" spans="1:8" ht="19.5" customHeight="1" x14ac:dyDescent="0.2">
      <c r="A10" s="46" t="s">
        <v>655</v>
      </c>
      <c r="B10" s="45">
        <v>0.2</v>
      </c>
      <c r="C10" s="36">
        <f>Dashboard!$B$30*(1+B10)</f>
        <v>3.5999999999999996</v>
      </c>
      <c r="D10" s="58">
        <f>'Economics Module'!$B$6*(C10/Dashboard!$B$30)</f>
        <v>24960.319939238329</v>
      </c>
      <c r="E10" s="44">
        <f>((('Carbon Accounting'!$B$5+'Carbon Accounting'!$B$8+'Carbon Accounting'!$B$9)*(D10/'Economics Module'!$B$6))+('Carbon Accounting'!$B$6+'Carbon Accounting'!$B$7+'Pond Emission Model'!$B$41+'Pond Emission Model'!$B$53))-'Carbon Accounting'!$B$15</f>
        <v>51.957013115389159</v>
      </c>
      <c r="F10" s="36">
        <f>E10*1000/'Economics Module'!$B$5</f>
        <v>5.9193928911277069</v>
      </c>
      <c r="G10" s="58">
        <f>'Economics Module'!$B$29-(D10*'Economics Module'!$B$12+'Economics Module'!$B$23+'Economics Module'!$B$24+'Economics Module'!$B$25+'Economics Module'!$B$15+'Economics Module'!$B$16+'Economics Module'!$B$18)</f>
        <v>-176924.45543284668</v>
      </c>
      <c r="H10" s="77">
        <f>G10-G8</f>
        <v>-187202.39954428747</v>
      </c>
    </row>
    <row r="12" spans="1:8" ht="19.5" customHeight="1" x14ac:dyDescent="0.2">
      <c r="A12" s="24" t="s">
        <v>656</v>
      </c>
      <c r="B12" s="25"/>
      <c r="C12" s="25"/>
      <c r="D12" s="25"/>
      <c r="E12" s="25"/>
      <c r="F12" s="25"/>
      <c r="G12" s="25"/>
      <c r="H12" s="25"/>
    </row>
    <row r="13" spans="1:8" ht="31.5" customHeight="1" x14ac:dyDescent="0.2">
      <c r="A13" s="19" t="s">
        <v>643</v>
      </c>
      <c r="B13" s="19" t="s">
        <v>644</v>
      </c>
      <c r="C13" s="19" t="s">
        <v>645</v>
      </c>
      <c r="D13" s="19" t="s">
        <v>646</v>
      </c>
      <c r="E13" s="19" t="s">
        <v>647</v>
      </c>
      <c r="F13" s="19" t="s">
        <v>648</v>
      </c>
      <c r="G13" s="19" t="s">
        <v>649</v>
      </c>
      <c r="H13" s="19" t="s">
        <v>650</v>
      </c>
    </row>
    <row r="14" spans="1:8" ht="19.5" customHeight="1" x14ac:dyDescent="0.2">
      <c r="A14" s="46" t="s">
        <v>651</v>
      </c>
      <c r="B14" s="45">
        <v>-0.2</v>
      </c>
      <c r="C14" s="45">
        <f>MIN(1,Dashboard!$B$22*(1+B14))</f>
        <v>0.64000000000000012</v>
      </c>
      <c r="D14" s="58">
        <f>'Economics Module'!$B$5*(C14/Dashboard!$B$22)</f>
        <v>7021.9381035869446</v>
      </c>
      <c r="E14" s="44">
        <f>((('Carbon Accounting'!$B$5+'Carbon Accounting'!$B$8+'Carbon Accounting'!$B$9)*(('Economics Module'!$B$6*(C14/Dashboard!$B$22))/'Economics Module'!$B$6))+('Carbon Accounting'!$B$6+'Carbon Accounting'!$B$7+'Pond Emission Model'!$B$41+'Pond Emission Model'!$B$53))-('Carbon Accounting'!$B$15*(D14/'Economics Module'!$B$5))</f>
        <v>35.134380658528528</v>
      </c>
      <c r="F14" s="36">
        <f>E14*1000/D14</f>
        <v>5.0035161432968476</v>
      </c>
      <c r="G14" s="58">
        <f>(D14*'Economics Module'!$B$19)-(('Economics Module'!$B$6*(C14/Dashboard!$B$22))*'Economics Module'!$B$12+'Economics Module'!$B$23+'Economics Module'!$B$24+'Economics Module'!$B$25+'Economics Module'!$B$15+'Economics Module'!$B$16+'Economics Module'!$B$18)</f>
        <v>-30732.644710847177</v>
      </c>
      <c r="H14" s="77">
        <f>G14-G16</f>
        <v>-41010.588822287973</v>
      </c>
    </row>
    <row r="15" spans="1:8" ht="19.5" customHeight="1" x14ac:dyDescent="0.2">
      <c r="A15" s="46" t="s">
        <v>652</v>
      </c>
      <c r="B15" s="45">
        <v>-0.1</v>
      </c>
      <c r="C15" s="45">
        <f>MIN(1,Dashboard!$B$22*(1+B15))</f>
        <v>0.72000000000000008</v>
      </c>
      <c r="D15" s="58">
        <f>'Economics Module'!$B$5*(C15/Dashboard!$B$22)</f>
        <v>7899.6803665353109</v>
      </c>
      <c r="E15" s="44">
        <f>((('Carbon Accounting'!$B$5+'Carbon Accounting'!$B$8+'Carbon Accounting'!$B$9)*(('Economics Module'!$B$6*(C15/Dashboard!$B$22))/'Economics Module'!$B$6))+('Carbon Accounting'!$B$6+'Carbon Accounting'!$B$7+'Pond Emission Model'!$B$41+'Pond Emission Model'!$B$53))-('Carbon Accounting'!$B$15*(D15/'Economics Module'!$B$5))</f>
        <v>39.211303240844586</v>
      </c>
      <c r="F15" s="36">
        <f>E15*1000/D15</f>
        <v>4.9636569356592988</v>
      </c>
      <c r="G15" s="58">
        <f>(D15*'Economics Module'!$B$19)-(('Economics Module'!$B$6*(C15/Dashboard!$B$22))*'Economics Module'!$B$12+'Economics Module'!$B$23+'Economics Module'!$B$24+'Economics Module'!$B$25+'Economics Module'!$B$15+'Economics Module'!$B$16+'Economics Module'!$B$18)</f>
        <v>-10227.35029970319</v>
      </c>
      <c r="H15" s="77">
        <f>G15-G16</f>
        <v>-20505.294411143987</v>
      </c>
    </row>
    <row r="16" spans="1:8" ht="19.5" customHeight="1" x14ac:dyDescent="0.2">
      <c r="A16" s="20" t="s">
        <v>653</v>
      </c>
      <c r="B16" s="45">
        <v>0</v>
      </c>
      <c r="C16" s="45">
        <f>MIN(1,Dashboard!$B$22*(1+B16))</f>
        <v>0.8</v>
      </c>
      <c r="D16" s="58">
        <f>'Economics Module'!$B$5*(C16/Dashboard!$B$22)</f>
        <v>8777.422629483679</v>
      </c>
      <c r="E16" s="44">
        <f>((('Carbon Accounting'!$B$5+'Carbon Accounting'!$B$8+'Carbon Accounting'!$B$9)*(('Economics Module'!$B$6*(C16/Dashboard!$B$22))/'Economics Module'!$B$6))+('Carbon Accounting'!$B$6+'Carbon Accounting'!$B$7+'Pond Emission Model'!$B$41+'Pond Emission Model'!$B$53))-('Carbon Accounting'!$B$15*(D16/'Economics Module'!$B$5))</f>
        <v>43.288225823160651</v>
      </c>
      <c r="F16" s="36">
        <f>E16*1000/D16</f>
        <v>4.9317695695492594</v>
      </c>
      <c r="G16" s="58">
        <f>(D16*'Economics Module'!$B$19)-(('Economics Module'!$B$6*(C16/Dashboard!$B$22))*'Economics Module'!$B$12+'Economics Module'!$B$23+'Economics Module'!$B$24+'Economics Module'!$B$25+'Economics Module'!$B$15+'Economics Module'!$B$16+'Economics Module'!$B$18)</f>
        <v>10277.944111440796</v>
      </c>
      <c r="H16" s="77">
        <f>G16-G16</f>
        <v>0</v>
      </c>
    </row>
    <row r="17" spans="1:8" ht="19.5" customHeight="1" x14ac:dyDescent="0.2">
      <c r="A17" s="46" t="s">
        <v>654</v>
      </c>
      <c r="B17" s="45">
        <v>0.1</v>
      </c>
      <c r="C17" s="45">
        <f>MIN(1,Dashboard!$B$22*(1+B17))</f>
        <v>0.88000000000000012</v>
      </c>
      <c r="D17" s="58">
        <f>'Economics Module'!$B$5*(C17/Dashboard!$B$22)</f>
        <v>9655.1648924320471</v>
      </c>
      <c r="E17" s="44">
        <f>((('Carbon Accounting'!$B$5+'Carbon Accounting'!$B$8+'Carbon Accounting'!$B$9)*(('Economics Module'!$B$6*(C17/Dashboard!$B$22))/'Economics Module'!$B$6))+('Carbon Accounting'!$B$6+'Carbon Accounting'!$B$7+'Pond Emission Model'!$B$41+'Pond Emission Model'!$B$53))-('Carbon Accounting'!$B$15*(D17/'Economics Module'!$B$5))</f>
        <v>47.365148405476724</v>
      </c>
      <c r="F17" s="36">
        <f>E17*1000/D17</f>
        <v>4.9056799063683183</v>
      </c>
      <c r="G17" s="58">
        <f>(D17*'Economics Module'!$B$19)-(('Economics Module'!$B$6*(C17/Dashboard!$B$22))*'Economics Module'!$B$12+'Economics Module'!$B$23+'Economics Module'!$B$24+'Economics Module'!$B$25+'Economics Module'!$B$15+'Economics Module'!$B$16+'Economics Module'!$B$18)</f>
        <v>30783.238522585016</v>
      </c>
      <c r="H17" s="77">
        <f>G17-G16</f>
        <v>20505.294411144219</v>
      </c>
    </row>
    <row r="18" spans="1:8" ht="19.5" customHeight="1" x14ac:dyDescent="0.2">
      <c r="A18" s="46" t="s">
        <v>655</v>
      </c>
      <c r="B18" s="45">
        <v>0.2</v>
      </c>
      <c r="C18" s="45">
        <f>MIN(1,Dashboard!$B$22*(1+B18))</f>
        <v>0.96</v>
      </c>
      <c r="D18" s="58">
        <f>'Economics Module'!$B$5*(C18/Dashboard!$B$22)</f>
        <v>10532.907155380415</v>
      </c>
      <c r="E18" s="44">
        <f>((('Carbon Accounting'!$B$5+'Carbon Accounting'!$B$8+'Carbon Accounting'!$B$9)*(('Economics Module'!$B$6*(C18/Dashboard!$B$22))/'Economics Module'!$B$6))+('Carbon Accounting'!$B$6+'Carbon Accounting'!$B$7+'Pond Emission Model'!$B$41+'Pond Emission Model'!$B$53))-('Carbon Accounting'!$B$15*(D18/'Economics Module'!$B$5))</f>
        <v>51.442070987792782</v>
      </c>
      <c r="F18" s="36">
        <f>E18*1000/D18</f>
        <v>4.8839385203842003</v>
      </c>
      <c r="G18" s="58">
        <f>(D18*'Economics Module'!$B$19)-(('Economics Module'!$B$6*(C18/Dashboard!$B$22))*'Economics Module'!$B$12+'Economics Module'!$B$23+'Economics Module'!$B$24+'Economics Module'!$B$25+'Economics Module'!$B$15+'Economics Module'!$B$16+'Economics Module'!$B$18)</f>
        <v>51288.532933729235</v>
      </c>
      <c r="H18" s="77">
        <f>G18-G16</f>
        <v>41010.588822288439</v>
      </c>
    </row>
    <row r="20" spans="1:8" ht="19.5" customHeight="1" x14ac:dyDescent="0.2">
      <c r="A20" s="24" t="s">
        <v>657</v>
      </c>
      <c r="B20" s="25"/>
      <c r="C20" s="25"/>
      <c r="D20" s="25"/>
      <c r="E20" s="25"/>
      <c r="F20" s="25"/>
      <c r="G20" s="25"/>
      <c r="H20" s="25"/>
    </row>
    <row r="21" spans="1:8" ht="31.5" customHeight="1" x14ac:dyDescent="0.2">
      <c r="A21" s="19" t="s">
        <v>643</v>
      </c>
      <c r="B21" s="19" t="s">
        <v>644</v>
      </c>
      <c r="C21" s="19" t="s">
        <v>645</v>
      </c>
      <c r="D21" s="19" t="s">
        <v>646</v>
      </c>
      <c r="E21" s="19" t="s">
        <v>647</v>
      </c>
      <c r="F21" s="19" t="s">
        <v>648</v>
      </c>
      <c r="G21" s="19" t="s">
        <v>649</v>
      </c>
      <c r="H21" s="19" t="s">
        <v>650</v>
      </c>
    </row>
    <row r="22" spans="1:8" ht="19.5" customHeight="1" x14ac:dyDescent="0.2">
      <c r="A22" s="46" t="s">
        <v>651</v>
      </c>
      <c r="B22" s="45">
        <v>-0.2</v>
      </c>
      <c r="C22" s="45">
        <f>1+B22</f>
        <v>0.8</v>
      </c>
      <c r="D22" s="58">
        <f>'Economics Module'!$B$5</f>
        <v>8777.422629483679</v>
      </c>
      <c r="E22" s="44">
        <f>(('Carbon Accounting'!$B$5+'Carbon Accounting'!$B$8+'Carbon Accounting'!$B$9+'Pond Emission Model'!$B$41+'Pond Emission Model'!$B$53)+(('Carbon Accounting'!$B$6+'Carbon Accounting'!$B$7)*C22))-'Carbon Accounting'!$B$15</f>
        <v>42.797225823160652</v>
      </c>
      <c r="F22" s="36">
        <f>E22*1000/D22</f>
        <v>4.8758305974014773</v>
      </c>
      <c r="G22" s="58">
        <f>'Economics Module'!$B$29-((('Economics Module'!$B$23+'Economics Module'!$B$24)*C22)+('Economics Module'!$B$22+'Economics Module'!$B$25+'Economics Module'!$B$15+'Economics Module'!$B$16+'Economics Module'!$B$18))</f>
        <v>23857.944111440796</v>
      </c>
      <c r="H22" s="77">
        <f>G22-G24</f>
        <v>13580</v>
      </c>
    </row>
    <row r="23" spans="1:8" ht="19.5" customHeight="1" x14ac:dyDescent="0.2">
      <c r="A23" s="46" t="s">
        <v>652</v>
      </c>
      <c r="B23" s="45">
        <v>-0.1</v>
      </c>
      <c r="C23" s="45">
        <f>1+B23</f>
        <v>0.9</v>
      </c>
      <c r="D23" s="58">
        <f>'Economics Module'!$B$5</f>
        <v>8777.422629483679</v>
      </c>
      <c r="E23" s="44">
        <f>(('Carbon Accounting'!$B$5+'Carbon Accounting'!$B$8+'Carbon Accounting'!$B$9+'Pond Emission Model'!$B$41+'Pond Emission Model'!$B$53)+(('Carbon Accounting'!$B$6+'Carbon Accounting'!$B$7)*C23))-'Carbon Accounting'!$B$15</f>
        <v>43.042725823160652</v>
      </c>
      <c r="F23" s="36">
        <f>E23*1000/D23</f>
        <v>4.9038000834753683</v>
      </c>
      <c r="G23" s="58">
        <f>'Economics Module'!$B$29-((('Economics Module'!$B$23+'Economics Module'!$B$24)*C23)+('Economics Module'!$B$22+'Economics Module'!$B$25+'Economics Module'!$B$15+'Economics Module'!$B$16+'Economics Module'!$B$18))</f>
        <v>17067.944111440796</v>
      </c>
      <c r="H23" s="77">
        <f>G23-G24</f>
        <v>6790</v>
      </c>
    </row>
    <row r="24" spans="1:8" ht="19.5" customHeight="1" x14ac:dyDescent="0.2">
      <c r="A24" s="20" t="s">
        <v>653</v>
      </c>
      <c r="B24" s="45">
        <v>0</v>
      </c>
      <c r="C24" s="45">
        <f>1+B24</f>
        <v>1</v>
      </c>
      <c r="D24" s="58">
        <f>'Economics Module'!$B$5</f>
        <v>8777.422629483679</v>
      </c>
      <c r="E24" s="44">
        <f>(('Carbon Accounting'!$B$5+'Carbon Accounting'!$B$8+'Carbon Accounting'!$B$9+'Pond Emission Model'!$B$41+'Pond Emission Model'!$B$53)+(('Carbon Accounting'!$B$6+'Carbon Accounting'!$B$7)*C24))-'Carbon Accounting'!$B$15</f>
        <v>43.288225823160651</v>
      </c>
      <c r="F24" s="36">
        <f>E24*1000/D24</f>
        <v>4.9317695695492594</v>
      </c>
      <c r="G24" s="58">
        <f>'Economics Module'!$B$29-((('Economics Module'!$B$23+'Economics Module'!$B$24)*C24)+('Economics Module'!$B$22+'Economics Module'!$B$25+'Economics Module'!$B$15+'Economics Module'!$B$16+'Economics Module'!$B$18))</f>
        <v>10277.944111440796</v>
      </c>
      <c r="H24" s="77">
        <f>G24-G24</f>
        <v>0</v>
      </c>
    </row>
    <row r="25" spans="1:8" ht="19.5" customHeight="1" x14ac:dyDescent="0.2">
      <c r="A25" s="46" t="s">
        <v>654</v>
      </c>
      <c r="B25" s="45">
        <v>0.1</v>
      </c>
      <c r="C25" s="45">
        <f>1+B25</f>
        <v>1.1000000000000001</v>
      </c>
      <c r="D25" s="58">
        <f>'Economics Module'!$B$5</f>
        <v>8777.422629483679</v>
      </c>
      <c r="E25" s="44">
        <f>(('Carbon Accounting'!$B$5+'Carbon Accounting'!$B$8+'Carbon Accounting'!$B$9+'Pond Emission Model'!$B$41+'Pond Emission Model'!$B$53)+(('Carbon Accounting'!$B$6+'Carbon Accounting'!$B$7)*C25))-'Carbon Accounting'!$B$15</f>
        <v>43.533725823160651</v>
      </c>
      <c r="F25" s="36">
        <f>E25*1000/D25</f>
        <v>4.9597390556231504</v>
      </c>
      <c r="G25" s="58">
        <f>'Economics Module'!$B$29-((('Economics Module'!$B$23+'Economics Module'!$B$24)*C25)+('Economics Module'!$B$22+'Economics Module'!$B$25+'Economics Module'!$B$15+'Economics Module'!$B$16+'Economics Module'!$B$18))</f>
        <v>3487.9441114407964</v>
      </c>
      <c r="H25" s="77">
        <f>G25-G24</f>
        <v>-6790</v>
      </c>
    </row>
    <row r="26" spans="1:8" ht="19.5" customHeight="1" x14ac:dyDescent="0.2">
      <c r="A26" s="46" t="s">
        <v>655</v>
      </c>
      <c r="B26" s="45">
        <v>0.2</v>
      </c>
      <c r="C26" s="45">
        <f>1+B26</f>
        <v>1.2</v>
      </c>
      <c r="D26" s="58">
        <f>'Economics Module'!$B$5</f>
        <v>8777.422629483679</v>
      </c>
      <c r="E26" s="44">
        <f>(('Carbon Accounting'!$B$5+'Carbon Accounting'!$B$8+'Carbon Accounting'!$B$9+'Pond Emission Model'!$B$41+'Pond Emission Model'!$B$53)+(('Carbon Accounting'!$B$6+'Carbon Accounting'!$B$7)*C26))-'Carbon Accounting'!$B$15</f>
        <v>43.779225823160651</v>
      </c>
      <c r="F26" s="36">
        <f>E26*1000/D26</f>
        <v>4.9877085416970415</v>
      </c>
      <c r="G26" s="58">
        <f>'Economics Module'!$B$29-((('Economics Module'!$B$23+'Economics Module'!$B$24)*C26)+('Economics Module'!$B$22+'Economics Module'!$B$25+'Economics Module'!$B$15+'Economics Module'!$B$16+'Economics Module'!$B$18))</f>
        <v>-3302.0558885592036</v>
      </c>
      <c r="H26" s="77">
        <f>G26-G24</f>
        <v>-13580</v>
      </c>
    </row>
    <row r="28" spans="1:8" ht="19.5" customHeight="1" x14ac:dyDescent="0.2">
      <c r="A28" s="24" t="s">
        <v>658</v>
      </c>
      <c r="B28" s="25"/>
      <c r="C28" s="25"/>
      <c r="D28" s="25"/>
      <c r="E28" s="25"/>
      <c r="F28" s="25"/>
      <c r="G28" s="25"/>
      <c r="H28" s="25"/>
    </row>
    <row r="29" spans="1:8" ht="31.5" customHeight="1" x14ac:dyDescent="0.2">
      <c r="A29" s="19" t="s">
        <v>643</v>
      </c>
      <c r="B29" s="19" t="s">
        <v>644</v>
      </c>
      <c r="C29" s="19" t="s">
        <v>645</v>
      </c>
      <c r="D29" s="19" t="s">
        <v>646</v>
      </c>
      <c r="E29" s="19" t="s">
        <v>647</v>
      </c>
      <c r="F29" s="19" t="s">
        <v>648</v>
      </c>
      <c r="G29" s="19" t="s">
        <v>649</v>
      </c>
      <c r="H29" s="19" t="s">
        <v>650</v>
      </c>
    </row>
    <row r="30" spans="1:8" ht="19.5" customHeight="1" x14ac:dyDescent="0.2">
      <c r="A30" s="46" t="s">
        <v>651</v>
      </c>
      <c r="B30" s="45">
        <v>-0.2</v>
      </c>
      <c r="C30" s="78">
        <f>'Pond Emission Model'!$B$9*(1+B30)</f>
        <v>0.16000000000000003</v>
      </c>
      <c r="D30" s="58">
        <f>'Economics Module'!$B$5</f>
        <v>8777.422629483679</v>
      </c>
      <c r="E30" s="44">
        <f>(('Carbon Accounting'!$B$5+'Carbon Accounting'!$B$6+'Carbon Accounting'!$B$7+'Carbon Accounting'!$B$9+'Pond Emission Model'!$B$41+'Pond Emission Model'!$B$53)+('Carbon Accounting'!$B$8*(C30/'Pond Emission Model'!$B$9)))-'Carbon Accounting'!$B$15</f>
        <v>37.58249636761029</v>
      </c>
      <c r="F30" s="36">
        <f>E30*1000/D30</f>
        <v>4.2817234573357936</v>
      </c>
      <c r="G30" s="58">
        <f>'Economics Module'!$B$30</f>
        <v>10277.944111440796</v>
      </c>
      <c r="H30" s="77">
        <f>G30-G32</f>
        <v>0</v>
      </c>
    </row>
    <row r="31" spans="1:8" ht="19.5" customHeight="1" x14ac:dyDescent="0.2">
      <c r="A31" s="46" t="s">
        <v>652</v>
      </c>
      <c r="B31" s="45">
        <v>-0.1</v>
      </c>
      <c r="C31" s="78">
        <f>'Pond Emission Model'!$B$9*(1+B31)</f>
        <v>0.18000000000000002</v>
      </c>
      <c r="D31" s="58">
        <f>'Economics Module'!$B$5</f>
        <v>8777.422629483679</v>
      </c>
      <c r="E31" s="44">
        <f>(('Carbon Accounting'!$B$5+'Carbon Accounting'!$B$6+'Carbon Accounting'!$B$7+'Carbon Accounting'!$B$9+'Pond Emission Model'!$B$41+'Pond Emission Model'!$B$53)+('Carbon Accounting'!$B$8*(C31/'Pond Emission Model'!$B$9)))-'Carbon Accounting'!$B$15</f>
        <v>40.435361095385474</v>
      </c>
      <c r="F31" s="36">
        <f>E31*1000/D31</f>
        <v>4.6067465134425269</v>
      </c>
      <c r="G31" s="58">
        <f>'Economics Module'!$B$30</f>
        <v>10277.944111440796</v>
      </c>
      <c r="H31" s="77">
        <f>G31-G32</f>
        <v>0</v>
      </c>
    </row>
    <row r="32" spans="1:8" ht="19.5" customHeight="1" x14ac:dyDescent="0.2">
      <c r="A32" s="20" t="s">
        <v>653</v>
      </c>
      <c r="B32" s="45">
        <v>0</v>
      </c>
      <c r="C32" s="78">
        <f>'Pond Emission Model'!$B$9*(1+B32)</f>
        <v>0.2</v>
      </c>
      <c r="D32" s="58">
        <f>'Economics Module'!$B$5</f>
        <v>8777.422629483679</v>
      </c>
      <c r="E32" s="44">
        <f>(('Carbon Accounting'!$B$5+'Carbon Accounting'!$B$6+'Carbon Accounting'!$B$7+'Carbon Accounting'!$B$9+'Pond Emission Model'!$B$41+'Pond Emission Model'!$B$53)+('Carbon Accounting'!$B$8*(C32/'Pond Emission Model'!$B$9)))-'Carbon Accounting'!$B$15</f>
        <v>43.288225823160658</v>
      </c>
      <c r="F32" s="36">
        <f>E32*1000/D32</f>
        <v>4.9317695695492603</v>
      </c>
      <c r="G32" s="58">
        <f>'Economics Module'!$B$30</f>
        <v>10277.944111440796</v>
      </c>
      <c r="H32" s="77">
        <f>G32-G32</f>
        <v>0</v>
      </c>
    </row>
    <row r="33" spans="1:8" ht="19.5" customHeight="1" x14ac:dyDescent="0.2">
      <c r="A33" s="46" t="s">
        <v>654</v>
      </c>
      <c r="B33" s="45">
        <v>0.1</v>
      </c>
      <c r="C33" s="78">
        <f>'Pond Emission Model'!$B$9*(1+B33)</f>
        <v>0.22000000000000003</v>
      </c>
      <c r="D33" s="58">
        <f>'Economics Module'!$B$5</f>
        <v>8777.422629483679</v>
      </c>
      <c r="E33" s="44">
        <f>(('Carbon Accounting'!$B$5+'Carbon Accounting'!$B$6+'Carbon Accounting'!$B$7+'Carbon Accounting'!$B$9+'Pond Emission Model'!$B$41+'Pond Emission Model'!$B$53)+('Carbon Accounting'!$B$8*(C33/'Pond Emission Model'!$B$9)))-'Carbon Accounting'!$B$15</f>
        <v>46.141090550935843</v>
      </c>
      <c r="F33" s="36">
        <f>E33*1000/D33</f>
        <v>5.2567926256559936</v>
      </c>
      <c r="G33" s="58">
        <f>'Economics Module'!$B$30</f>
        <v>10277.944111440796</v>
      </c>
      <c r="H33" s="77">
        <f>G33-G32</f>
        <v>0</v>
      </c>
    </row>
    <row r="34" spans="1:8" ht="19.5" customHeight="1" x14ac:dyDescent="0.2">
      <c r="A34" s="46" t="s">
        <v>655</v>
      </c>
      <c r="B34" s="45">
        <v>0.2</v>
      </c>
      <c r="C34" s="78">
        <f>'Pond Emission Model'!$B$9*(1+B34)</f>
        <v>0.24</v>
      </c>
      <c r="D34" s="58">
        <f>'Economics Module'!$B$5</f>
        <v>8777.422629483679</v>
      </c>
      <c r="E34" s="44">
        <f>(('Carbon Accounting'!$B$5+'Carbon Accounting'!$B$6+'Carbon Accounting'!$B$7+'Carbon Accounting'!$B$9+'Pond Emission Model'!$B$41+'Pond Emission Model'!$B$53)+('Carbon Accounting'!$B$8*(C34/'Pond Emission Model'!$B$9)))-'Carbon Accounting'!$B$15</f>
        <v>48.99395527871102</v>
      </c>
      <c r="F34" s="36">
        <f>E34*1000/D34</f>
        <v>5.581815681762726</v>
      </c>
      <c r="G34" s="58">
        <f>'Economics Module'!$B$30</f>
        <v>10277.944111440796</v>
      </c>
      <c r="H34" s="77">
        <f>G34-G32</f>
        <v>0</v>
      </c>
    </row>
    <row r="36" spans="1:8" ht="25.5" customHeight="1" x14ac:dyDescent="0.2">
      <c r="A36" s="4" t="s">
        <v>659</v>
      </c>
      <c r="B36" s="4"/>
      <c r="C36" s="4"/>
      <c r="D36" s="4"/>
      <c r="E36" s="4"/>
      <c r="F36" s="4"/>
      <c r="G36" s="4"/>
      <c r="H36" s="4"/>
    </row>
  </sheetData>
  <mergeCells count="3">
    <mergeCell ref="A1:H1"/>
    <mergeCell ref="A2:H2"/>
    <mergeCell ref="A36:H36"/>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35"/>
  <sheetViews>
    <sheetView zoomScaleNormal="100" workbookViewId="0">
      <pane ySplit="3" topLeftCell="A4" activePane="bottomLeft" state="frozen"/>
      <selection pane="bottomLeft"/>
    </sheetView>
  </sheetViews>
  <sheetFormatPr defaultColWidth="8.7421875" defaultRowHeight="15" x14ac:dyDescent="0.2"/>
  <cols>
    <col min="1" max="1" width="39.953125" style="13" customWidth="1"/>
    <col min="2" max="2" width="23.9453125" style="13" customWidth="1"/>
    <col min="3" max="3" width="13.98828125" style="13" customWidth="1"/>
    <col min="4" max="4" width="39.953125" style="13" customWidth="1"/>
  </cols>
  <sheetData>
    <row r="1" spans="1:4" ht="19.5" customHeight="1" x14ac:dyDescent="0.25">
      <c r="A1" s="12" t="s">
        <v>660</v>
      </c>
      <c r="B1" s="12"/>
      <c r="C1" s="12"/>
      <c r="D1" s="12"/>
    </row>
    <row r="2" spans="1:4" ht="15" customHeight="1" x14ac:dyDescent="0.2">
      <c r="A2" s="7" t="s">
        <v>661</v>
      </c>
      <c r="B2" s="7"/>
      <c r="C2" s="7"/>
      <c r="D2" s="7"/>
    </row>
    <row r="4" spans="1:4" ht="19.5" customHeight="1" x14ac:dyDescent="0.2">
      <c r="A4" s="24" t="s">
        <v>662</v>
      </c>
      <c r="B4" s="25"/>
      <c r="C4" s="25"/>
      <c r="D4" s="25"/>
    </row>
    <row r="5" spans="1:4" ht="25.5" customHeight="1" x14ac:dyDescent="0.2">
      <c r="A5" s="43" t="s">
        <v>95</v>
      </c>
      <c r="B5" s="46" t="str">
        <f>Dashboard!$B$5</f>
        <v>IMC</v>
      </c>
      <c r="C5" s="28"/>
      <c r="D5" s="29"/>
    </row>
    <row r="6" spans="1:4" ht="25.5" customHeight="1" x14ac:dyDescent="0.2">
      <c r="A6" s="43" t="s">
        <v>99</v>
      </c>
      <c r="B6" s="46" t="str">
        <f>Dashboard!$B$6</f>
        <v>Sample Farm</v>
      </c>
      <c r="C6" s="28"/>
      <c r="D6" s="29"/>
    </row>
    <row r="7" spans="1:4" ht="25.5" customHeight="1" x14ac:dyDescent="0.2">
      <c r="A7" s="43" t="s">
        <v>107</v>
      </c>
      <c r="B7" s="36">
        <f>Dashboard!$B$10</f>
        <v>1</v>
      </c>
      <c r="C7" s="28" t="s">
        <v>108</v>
      </c>
      <c r="D7" s="29"/>
    </row>
    <row r="8" spans="1:4" ht="25.5" customHeight="1" x14ac:dyDescent="0.2">
      <c r="A8" s="43" t="s">
        <v>528</v>
      </c>
      <c r="B8" s="72">
        <f>Dashboard!$B$12</f>
        <v>1</v>
      </c>
      <c r="C8" s="28" t="s">
        <v>114</v>
      </c>
      <c r="D8" s="29"/>
    </row>
    <row r="10" spans="1:4" ht="19.5" customHeight="1" x14ac:dyDescent="0.2">
      <c r="A10" s="24" t="s">
        <v>663</v>
      </c>
      <c r="B10" s="25"/>
      <c r="C10" s="25"/>
      <c r="D10" s="25"/>
    </row>
    <row r="11" spans="1:4" ht="25.5" customHeight="1" x14ac:dyDescent="0.2">
      <c r="A11" s="43" t="s">
        <v>141</v>
      </c>
      <c r="B11" s="58">
        <f>'Harvest Schedule'!B15</f>
        <v>8777.422629483679</v>
      </c>
      <c r="C11" s="28" t="s">
        <v>142</v>
      </c>
      <c r="D11" s="29"/>
    </row>
    <row r="12" spans="1:4" ht="25.5" customHeight="1" x14ac:dyDescent="0.2">
      <c r="A12" s="43" t="s">
        <v>143</v>
      </c>
      <c r="B12" s="58">
        <f>'Growth &amp; Feed Model'!B25</f>
        <v>20800.266616031942</v>
      </c>
      <c r="C12" s="28" t="s">
        <v>142</v>
      </c>
      <c r="D12" s="29"/>
    </row>
    <row r="13" spans="1:4" ht="25.5" customHeight="1" x14ac:dyDescent="0.2">
      <c r="A13" s="43" t="s">
        <v>245</v>
      </c>
      <c r="B13" s="36">
        <f>Dashboard!$B$30</f>
        <v>3</v>
      </c>
      <c r="C13" s="28" t="s">
        <v>117</v>
      </c>
      <c r="D13" s="29"/>
    </row>
    <row r="15" spans="1:4" ht="19.5" customHeight="1" x14ac:dyDescent="0.2">
      <c r="A15" s="24" t="s">
        <v>664</v>
      </c>
      <c r="B15" s="25"/>
      <c r="C15" s="25"/>
      <c r="D15" s="25"/>
    </row>
    <row r="16" spans="1:4" ht="25.5" customHeight="1" x14ac:dyDescent="0.2">
      <c r="A16" s="43" t="s">
        <v>587</v>
      </c>
      <c r="B16" s="44">
        <f>'Carbon Accounting'!B5</f>
        <v>12.792163968859644</v>
      </c>
      <c r="C16" s="28" t="s">
        <v>151</v>
      </c>
      <c r="D16" s="29"/>
    </row>
    <row r="17" spans="1:4" ht="25.5" customHeight="1" x14ac:dyDescent="0.2">
      <c r="A17" s="43" t="s">
        <v>469</v>
      </c>
      <c r="B17" s="44">
        <f>'Carbon Accounting'!B6</f>
        <v>0.35499999999999998</v>
      </c>
      <c r="C17" s="28" t="s">
        <v>151</v>
      </c>
      <c r="D17" s="29"/>
    </row>
    <row r="18" spans="1:4" ht="25.5" customHeight="1" x14ac:dyDescent="0.2">
      <c r="A18" s="43" t="s">
        <v>470</v>
      </c>
      <c r="B18" s="44">
        <f>'Carbon Accounting'!B7</f>
        <v>2.1</v>
      </c>
      <c r="C18" s="28" t="s">
        <v>151</v>
      </c>
      <c r="D18" s="29"/>
    </row>
    <row r="19" spans="1:4" ht="25.5" customHeight="1" x14ac:dyDescent="0.2">
      <c r="A19" s="43" t="s">
        <v>375</v>
      </c>
      <c r="B19" s="44">
        <f>'Carbon Accounting'!B8</f>
        <v>28.528647277751848</v>
      </c>
      <c r="C19" s="28" t="s">
        <v>151</v>
      </c>
      <c r="D19" s="29"/>
    </row>
    <row r="20" spans="1:4" ht="25.5" customHeight="1" x14ac:dyDescent="0.2">
      <c r="A20" s="43" t="s">
        <v>381</v>
      </c>
      <c r="B20" s="44">
        <f>'Carbon Accounting'!B9</f>
        <v>2.0231252145310443</v>
      </c>
      <c r="C20" s="28" t="s">
        <v>151</v>
      </c>
      <c r="D20" s="29"/>
    </row>
    <row r="21" spans="1:4" ht="25.5" customHeight="1" x14ac:dyDescent="0.2">
      <c r="A21" s="26" t="s">
        <v>665</v>
      </c>
      <c r="B21" s="79">
        <f>'Carbon Accounting'!B10</f>
        <v>45.862936461142532</v>
      </c>
      <c r="C21" s="28" t="s">
        <v>151</v>
      </c>
      <c r="D21" s="29"/>
    </row>
    <row r="22" spans="1:4" ht="25.5" customHeight="1" x14ac:dyDescent="0.2">
      <c r="A22" s="43" t="s">
        <v>666</v>
      </c>
      <c r="B22" s="44">
        <f>'Carbon Accounting'!B15</f>
        <v>2.5747106379818794</v>
      </c>
      <c r="C22" s="28" t="s">
        <v>151</v>
      </c>
      <c r="D22" s="29"/>
    </row>
    <row r="23" spans="1:4" ht="25.5" customHeight="1" x14ac:dyDescent="0.2">
      <c r="A23" s="26" t="s">
        <v>157</v>
      </c>
      <c r="B23" s="79">
        <f>'Carbon Accounting'!B18</f>
        <v>43.288225823160651</v>
      </c>
      <c r="C23" s="28" t="s">
        <v>151</v>
      </c>
      <c r="D23" s="29"/>
    </row>
    <row r="24" spans="1:4" ht="25.5" customHeight="1" x14ac:dyDescent="0.2">
      <c r="A24" s="26" t="s">
        <v>667</v>
      </c>
      <c r="B24" s="33">
        <f>'Carbon Accounting'!B20</f>
        <v>4.9317695695492594</v>
      </c>
      <c r="C24" s="28" t="s">
        <v>159</v>
      </c>
      <c r="D24" s="29"/>
    </row>
    <row r="26" spans="1:4" ht="19.5" customHeight="1" x14ac:dyDescent="0.2">
      <c r="A26" s="24" t="s">
        <v>668</v>
      </c>
      <c r="B26" s="25"/>
      <c r="C26" s="25"/>
      <c r="D26" s="25"/>
    </row>
    <row r="27" spans="1:4" ht="25.5" customHeight="1" x14ac:dyDescent="0.2">
      <c r="A27" s="26" t="s">
        <v>635</v>
      </c>
      <c r="B27" s="79">
        <f>'Carbon Reduction Summary'!B9</f>
        <v>22.987306934389792</v>
      </c>
      <c r="C27" s="28" t="s">
        <v>151</v>
      </c>
      <c r="D27" s="29"/>
    </row>
    <row r="28" spans="1:4" ht="25.5" customHeight="1" x14ac:dyDescent="0.2">
      <c r="A28" s="26" t="s">
        <v>636</v>
      </c>
      <c r="B28" s="85">
        <f>'Carbon Reduction Summary'!B10</f>
        <v>0.53102908463600773</v>
      </c>
      <c r="C28" s="28" t="s">
        <v>244</v>
      </c>
      <c r="D28" s="29"/>
    </row>
    <row r="29" spans="1:4" ht="25.5" customHeight="1" x14ac:dyDescent="0.2">
      <c r="A29" s="26" t="s">
        <v>669</v>
      </c>
      <c r="B29" s="79">
        <f>'Carbon Reduction Summary'!B11</f>
        <v>22.987306934389792</v>
      </c>
      <c r="C29" s="28" t="s">
        <v>163</v>
      </c>
      <c r="D29" s="29"/>
    </row>
    <row r="31" spans="1:4" ht="19.5" customHeight="1" x14ac:dyDescent="0.2">
      <c r="A31" s="24" t="s">
        <v>670</v>
      </c>
      <c r="B31" s="25"/>
      <c r="C31" s="25"/>
      <c r="D31" s="25"/>
    </row>
    <row r="32" spans="1:4" ht="24" customHeight="1" x14ac:dyDescent="0.2">
      <c r="A32" s="1" t="s">
        <v>671</v>
      </c>
      <c r="B32" s="1"/>
      <c r="C32" s="1"/>
      <c r="D32" s="1"/>
    </row>
    <row r="33" spans="1:4" ht="24" customHeight="1" x14ac:dyDescent="0.2">
      <c r="A33" s="1" t="s">
        <v>672</v>
      </c>
      <c r="B33" s="1"/>
      <c r="C33" s="1"/>
      <c r="D33" s="1"/>
    </row>
    <row r="34" spans="1:4" ht="24" customHeight="1" x14ac:dyDescent="0.2">
      <c r="A34" s="1" t="s">
        <v>673</v>
      </c>
      <c r="B34" s="1"/>
      <c r="C34" s="1"/>
      <c r="D34" s="1"/>
    </row>
    <row r="35" spans="1:4" ht="24" customHeight="1" x14ac:dyDescent="0.2">
      <c r="A35" s="1" t="s">
        <v>674</v>
      </c>
      <c r="B35" s="1"/>
      <c r="C35" s="1"/>
      <c r="D35" s="1"/>
    </row>
  </sheetData>
  <mergeCells count="6">
    <mergeCell ref="A35:D35"/>
    <mergeCell ref="A1:D1"/>
    <mergeCell ref="A2:D2"/>
    <mergeCell ref="A32:D32"/>
    <mergeCell ref="A33:D33"/>
    <mergeCell ref="A34:D34"/>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22"/>
  <sheetViews>
    <sheetView zoomScaleNormal="100" workbookViewId="0">
      <pane ySplit="4" topLeftCell="A5" activePane="bottomLeft" state="frozen"/>
      <selection pane="bottomLeft"/>
    </sheetView>
  </sheetViews>
  <sheetFormatPr defaultColWidth="8.7421875" defaultRowHeight="15" x14ac:dyDescent="0.2"/>
  <cols>
    <col min="1" max="1" width="34.03125" style="13" customWidth="1"/>
    <col min="2" max="2" width="20.04296875" style="13" customWidth="1"/>
    <col min="3" max="3" width="34.03125" style="13" customWidth="1"/>
    <col min="4" max="4" width="39.953125" style="13" customWidth="1"/>
  </cols>
  <sheetData>
    <row r="1" spans="1:4" ht="19.5" customHeight="1" x14ac:dyDescent="0.25">
      <c r="A1" s="12" t="s">
        <v>675</v>
      </c>
      <c r="B1" s="12"/>
      <c r="C1" s="12"/>
      <c r="D1" s="12"/>
    </row>
    <row r="2" spans="1:4" ht="15" customHeight="1" x14ac:dyDescent="0.2">
      <c r="A2" s="7" t="s">
        <v>676</v>
      </c>
      <c r="B2" s="7"/>
      <c r="C2" s="7"/>
      <c r="D2" s="7"/>
    </row>
    <row r="4" spans="1:4" ht="25.5" customHeight="1" x14ac:dyDescent="0.2">
      <c r="A4" s="19" t="s">
        <v>677</v>
      </c>
      <c r="B4" s="19" t="s">
        <v>678</v>
      </c>
      <c r="C4" s="19" t="s">
        <v>679</v>
      </c>
      <c r="D4" s="19" t="s">
        <v>680</v>
      </c>
    </row>
    <row r="5" spans="1:4" ht="63.75" customHeight="1" x14ac:dyDescent="0.2">
      <c r="A5" s="26" t="s">
        <v>681</v>
      </c>
      <c r="B5" s="43" t="s">
        <v>682</v>
      </c>
      <c r="C5" s="87" t="s">
        <v>683</v>
      </c>
      <c r="D5" s="22" t="s">
        <v>684</v>
      </c>
    </row>
    <row r="6" spans="1:4" ht="63.75" customHeight="1" x14ac:dyDescent="0.2">
      <c r="A6" s="26" t="s">
        <v>685</v>
      </c>
      <c r="B6" s="43" t="s">
        <v>686</v>
      </c>
      <c r="C6" s="87" t="s">
        <v>683</v>
      </c>
      <c r="D6" s="22" t="s">
        <v>687</v>
      </c>
    </row>
    <row r="7" spans="1:4" ht="63.75" customHeight="1" x14ac:dyDescent="0.2">
      <c r="A7" s="26" t="s">
        <v>688</v>
      </c>
      <c r="B7" s="43" t="s">
        <v>689</v>
      </c>
      <c r="C7" s="87" t="s">
        <v>690</v>
      </c>
      <c r="D7" s="22" t="s">
        <v>691</v>
      </c>
    </row>
    <row r="8" spans="1:4" ht="63.75" customHeight="1" x14ac:dyDescent="0.2">
      <c r="A8" s="26" t="s">
        <v>692</v>
      </c>
      <c r="B8" s="43" t="s">
        <v>693</v>
      </c>
      <c r="C8" s="87" t="s">
        <v>694</v>
      </c>
      <c r="D8" s="22" t="s">
        <v>695</v>
      </c>
    </row>
    <row r="9" spans="1:4" ht="63.75" customHeight="1" x14ac:dyDescent="0.2">
      <c r="A9" s="26" t="s">
        <v>696</v>
      </c>
      <c r="B9" s="43" t="s">
        <v>697</v>
      </c>
      <c r="C9" s="87" t="s">
        <v>698</v>
      </c>
      <c r="D9" s="22" t="s">
        <v>699</v>
      </c>
    </row>
    <row r="10" spans="1:4" ht="63.75" customHeight="1" x14ac:dyDescent="0.2">
      <c r="A10" s="26" t="s">
        <v>700</v>
      </c>
      <c r="B10" s="43" t="s">
        <v>689</v>
      </c>
      <c r="C10" s="87" t="s">
        <v>701</v>
      </c>
      <c r="D10" s="22" t="s">
        <v>702</v>
      </c>
    </row>
    <row r="11" spans="1:4" ht="63.75" customHeight="1" x14ac:dyDescent="0.2">
      <c r="A11" s="26" t="s">
        <v>703</v>
      </c>
      <c r="B11" s="43" t="s">
        <v>704</v>
      </c>
      <c r="C11" s="87" t="s">
        <v>705</v>
      </c>
      <c r="D11" s="22" t="s">
        <v>706</v>
      </c>
    </row>
    <row r="12" spans="1:4" ht="63.75" customHeight="1" x14ac:dyDescent="0.2">
      <c r="A12" s="26" t="s">
        <v>707</v>
      </c>
      <c r="B12" s="43" t="s">
        <v>708</v>
      </c>
      <c r="C12" s="87" t="s">
        <v>709</v>
      </c>
      <c r="D12" s="22" t="s">
        <v>710</v>
      </c>
    </row>
    <row r="13" spans="1:4" ht="63.75" customHeight="1" x14ac:dyDescent="0.2">
      <c r="A13" s="26" t="s">
        <v>711</v>
      </c>
      <c r="B13" s="43" t="s">
        <v>712</v>
      </c>
      <c r="C13" s="87" t="s">
        <v>713</v>
      </c>
      <c r="D13" s="22" t="s">
        <v>714</v>
      </c>
    </row>
    <row r="14" spans="1:4" ht="63.75" customHeight="1" x14ac:dyDescent="0.2">
      <c r="A14" s="26" t="s">
        <v>715</v>
      </c>
      <c r="B14" s="43" t="s">
        <v>716</v>
      </c>
      <c r="C14" s="87" t="s">
        <v>717</v>
      </c>
      <c r="D14" s="22" t="s">
        <v>718</v>
      </c>
    </row>
    <row r="15" spans="1:4" ht="63.75" customHeight="1" x14ac:dyDescent="0.2">
      <c r="A15" s="26" t="s">
        <v>719</v>
      </c>
      <c r="B15" s="43" t="s">
        <v>720</v>
      </c>
      <c r="C15" s="87" t="s">
        <v>721</v>
      </c>
      <c r="D15" s="22" t="s">
        <v>722</v>
      </c>
    </row>
    <row r="16" spans="1:4" ht="63.75" customHeight="1" x14ac:dyDescent="0.2">
      <c r="A16" s="26" t="s">
        <v>723</v>
      </c>
      <c r="B16" s="43" t="s">
        <v>724</v>
      </c>
      <c r="C16" s="87" t="s">
        <v>725</v>
      </c>
      <c r="D16" s="22" t="s">
        <v>726</v>
      </c>
    </row>
    <row r="17" spans="1:4" ht="63.75" customHeight="1" x14ac:dyDescent="0.2">
      <c r="A17" s="26" t="s">
        <v>727</v>
      </c>
      <c r="B17" s="43" t="s">
        <v>728</v>
      </c>
      <c r="C17" s="87" t="s">
        <v>729</v>
      </c>
      <c r="D17" s="22" t="s">
        <v>730</v>
      </c>
    </row>
    <row r="18" spans="1:4" ht="63.75" customHeight="1" x14ac:dyDescent="0.2">
      <c r="A18" s="26" t="s">
        <v>731</v>
      </c>
      <c r="B18" s="43" t="s">
        <v>732</v>
      </c>
      <c r="C18" s="87" t="s">
        <v>733</v>
      </c>
      <c r="D18" s="22" t="s">
        <v>734</v>
      </c>
    </row>
    <row r="19" spans="1:4" ht="63.75" customHeight="1" x14ac:dyDescent="0.2">
      <c r="A19" s="26" t="s">
        <v>735</v>
      </c>
      <c r="B19" s="43" t="s">
        <v>736</v>
      </c>
      <c r="C19" s="87" t="s">
        <v>737</v>
      </c>
      <c r="D19" s="22" t="s">
        <v>738</v>
      </c>
    </row>
    <row r="20" spans="1:4" ht="69.75" customHeight="1" x14ac:dyDescent="0.2">
      <c r="A20" s="88" t="s">
        <v>739</v>
      </c>
      <c r="B20" s="89" t="s">
        <v>740</v>
      </c>
      <c r="C20" s="87" t="s">
        <v>741</v>
      </c>
      <c r="D20" s="22" t="s">
        <v>742</v>
      </c>
    </row>
    <row r="21" spans="1:4" ht="69.75" customHeight="1" x14ac:dyDescent="0.2">
      <c r="A21" s="88" t="s">
        <v>743</v>
      </c>
      <c r="B21" s="89" t="s">
        <v>744</v>
      </c>
      <c r="C21" s="87" t="s">
        <v>745</v>
      </c>
      <c r="D21" s="22" t="s">
        <v>746</v>
      </c>
    </row>
    <row r="22" spans="1:4" ht="69.75" customHeight="1" x14ac:dyDescent="0.2">
      <c r="A22" s="88" t="s">
        <v>747</v>
      </c>
      <c r="B22" s="89" t="s">
        <v>748</v>
      </c>
      <c r="C22" s="87" t="s">
        <v>749</v>
      </c>
      <c r="D22" s="22" t="s">
        <v>750</v>
      </c>
    </row>
  </sheetData>
  <mergeCells count="2">
    <mergeCell ref="A1:D1"/>
    <mergeCell ref="A2:D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Excel Android</Application>
  <ScaleCrop>false</ScaleCrop>
  <HeadingPairs>
    <vt:vector size="2" baseType="variant">
      <vt:variant>
        <vt:lpstr>Worksheets</vt:lpstr>
      </vt:variant>
      <vt:variant>
        <vt:i4>17</vt:i4>
      </vt:variant>
    </vt:vector>
  </HeadingPairs>
  <TitlesOfParts>
    <vt:vector size="17" baseType="lpstr">
      <vt:lpstr>Instructions</vt:lpstr>
      <vt:lpstr>Change Log</vt:lpstr>
      <vt:lpstr>Dashboard</vt:lpstr>
      <vt:lpstr>Species Database</vt:lpstr>
      <vt:lpstr>Feed Database</vt:lpstr>
      <vt:lpstr>Growth &amp; Feed Model</vt:lpstr>
      <vt:lpstr>Harvest Schedule</vt:lpstr>
      <vt:lpstr>Feed Emission Model</vt:lpstr>
      <vt:lpstr>Pond Emission Model</vt:lpstr>
      <vt:lpstr>Energy Module</vt:lpstr>
      <vt:lpstr>Economics Module</vt:lpstr>
      <vt:lpstr>Improved Farming Scenario</vt:lpstr>
      <vt:lpstr>Carbon Accounting</vt:lpstr>
      <vt:lpstr>Carbon Reduction Summary</vt:lpstr>
      <vt:lpstr>Sensitivity Analysis</vt:lpstr>
      <vt:lpstr>Report</vt:lpstr>
      <vt:lpstr>Scientific 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
  <cp:revision>0</cp:revision>
  <dcterms:created xsi:type="dcterms:W3CDTF">2026-07-15T05:30:53Z</dcterms:created>
  <dcterms:modified xsi:type="dcterms:W3CDTF">2026-07-26T22:18:36Z</dcterms:modified>
  <dc:language>en-US</dc:language>
</cp:coreProperties>
</file>